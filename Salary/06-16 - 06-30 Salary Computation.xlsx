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2F3744A5-FA90-4F9B-BC28-6CE3DEEB739B}" xr6:coauthVersionLast="47" xr6:coauthVersionMax="47" xr10:uidLastSave="{00000000-0000-0000-0000-000000000000}"/>
  <bookViews>
    <workbookView xWindow="-108" yWindow="-108" windowWidth="23256" windowHeight="13896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Ralph" sheetId="11" r:id="rId5"/>
    <sheet name="Renelyn" sheetId="22" r:id="rId6"/>
    <sheet name="Cherry" sheetId="5" r:id="rId7"/>
    <sheet name="Nino" sheetId="7" r:id="rId8"/>
    <sheet name="David" sheetId="18" r:id="rId9"/>
    <sheet name="Kris" sheetId="2" r:id="rId10"/>
    <sheet name="Pepito" sheetId="6" r:id="rId11"/>
    <sheet name="Jay Anne" sheetId="3" r:id="rId12"/>
    <sheet name="Sheen" sheetId="20" r:id="rId13"/>
    <sheet name="Chardiya" sheetId="1" r:id="rId14"/>
    <sheet name="Lenard" sheetId="16" r:id="rId15"/>
    <sheet name="Template" sheetId="13" r:id="rId16"/>
    <sheet name="Rhoda" sheetId="9" state="hidden" r:id="rId17"/>
    <sheet name="Kenneth" sheetId="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7" l="1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B49" i="4"/>
  <c r="B30" i="18"/>
  <c r="D15" i="18"/>
  <c r="B23" i="15" l="1"/>
  <c r="B25" i="15"/>
  <c r="B29" i="15"/>
  <c r="B31" i="15"/>
  <c r="B35" i="15"/>
  <c r="B36" i="15"/>
  <c r="B33" i="11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33" i="22"/>
  <c r="B24" i="15" s="1"/>
  <c r="B33" i="4"/>
  <c r="B33" i="19"/>
  <c r="I13" i="22" l="1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0" i="7"/>
  <c r="B32" i="5"/>
  <c r="B34" i="20"/>
  <c r="B32" i="7"/>
  <c r="B35" i="11"/>
  <c r="B34" i="5"/>
  <c r="B35" i="19"/>
  <c r="B36" i="20"/>
  <c r="B35" i="22"/>
  <c r="B26" i="15" s="1"/>
  <c r="B35" i="4"/>
  <c r="G17" i="20"/>
  <c r="I17" i="20" s="1"/>
  <c r="K17" i="20" s="1"/>
  <c r="B31" i="22"/>
  <c r="B22" i="15" s="1"/>
  <c r="G14" i="19"/>
  <c r="H14" i="19" s="1"/>
  <c r="J14" i="19" s="1"/>
  <c r="H17" i="20" l="1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22" i="22" l="1"/>
  <c r="B37" i="22" s="1"/>
  <c r="B28" i="15" s="1"/>
  <c r="C22" i="22"/>
  <c r="B39" i="22" s="1"/>
  <c r="B30" i="15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70" i="15"/>
  <c r="E72" i="15"/>
  <c r="E76" i="15"/>
  <c r="E77" i="15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E67" i="15"/>
  <c r="B34" i="19"/>
  <c r="B31" i="19"/>
  <c r="G2" i="19"/>
  <c r="H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4" i="18"/>
  <c r="B27" i="16"/>
  <c r="B27" i="1"/>
  <c r="B34" i="11"/>
  <c r="B66" i="15" s="1"/>
  <c r="B31" i="7"/>
  <c r="E46" i="15" s="1"/>
  <c r="B33" i="5"/>
  <c r="B46" i="15" s="1"/>
  <c r="E25" i="15"/>
  <c r="B34" i="2"/>
  <c r="B27" i="3"/>
  <c r="D67" i="15"/>
  <c r="A67" i="15"/>
  <c r="D47" i="15"/>
  <c r="A47" i="15"/>
  <c r="D26" i="15"/>
  <c r="A26" i="15"/>
  <c r="D6" i="15"/>
  <c r="A6" i="15"/>
  <c r="B28" i="1"/>
  <c r="B28" i="16"/>
  <c r="B67" i="15"/>
  <c r="E47" i="15"/>
  <c r="B47" i="15"/>
  <c r="E26" i="15"/>
  <c r="B35" i="2"/>
  <c r="B28" i="3"/>
  <c r="B6" i="15"/>
  <c r="B4" i="15"/>
  <c r="B65" i="15"/>
  <c r="B26" i="1"/>
  <c r="B26" i="16"/>
  <c r="E45" i="15"/>
  <c r="B45" i="15"/>
  <c r="B34" i="6"/>
  <c r="E24" i="15" s="1"/>
  <c r="B33" i="2"/>
  <c r="B26" i="3"/>
  <c r="B24" i="16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L13" i="5" l="1"/>
  <c r="L12" i="5"/>
  <c r="L11" i="5"/>
  <c r="L10" i="5"/>
  <c r="D22" i="22"/>
  <c r="B43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65" i="15"/>
  <c r="E4" i="15"/>
  <c r="E63" i="15"/>
  <c r="E2" i="15"/>
  <c r="E66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1" i="11"/>
  <c r="B63" i="15" s="1"/>
  <c r="B24" i="1"/>
  <c r="B28" i="7"/>
  <c r="E43" i="15" s="1"/>
  <c r="E22" i="15"/>
  <c r="B30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I2" i="7" s="1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B47" i="22" l="1"/>
  <c r="B38" i="15" s="1"/>
  <c r="B34" i="15"/>
  <c r="L5" i="20"/>
  <c r="B22" i="19"/>
  <c r="B37" i="19" s="1"/>
  <c r="C22" i="19"/>
  <c r="B39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J2" i="7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L2" i="16"/>
  <c r="B15" i="16"/>
  <c r="B30" i="16" s="1"/>
  <c r="J8" i="11"/>
  <c r="L8" i="11" s="1"/>
  <c r="J2" i="11"/>
  <c r="K2" i="11"/>
  <c r="J3" i="11"/>
  <c r="J4" i="11"/>
  <c r="J5" i="11"/>
  <c r="J6" i="11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71" i="15" l="1"/>
  <c r="E10" i="15"/>
  <c r="E69" i="15"/>
  <c r="E8" i="15"/>
  <c r="D23" i="20"/>
  <c r="B44" i="20" s="1"/>
  <c r="C22" i="4"/>
  <c r="B39" i="4" s="1"/>
  <c r="B10" i="15" s="1"/>
  <c r="B22" i="4"/>
  <c r="B37" i="4" s="1"/>
  <c r="B8" i="15" s="1"/>
  <c r="D22" i="19"/>
  <c r="B43" i="19" s="1"/>
  <c r="E14" i="15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2" i="11"/>
  <c r="B39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1" i="5"/>
  <c r="B38" i="5" s="1"/>
  <c r="B51" i="15" s="1"/>
  <c r="L5" i="5"/>
  <c r="L6" i="4"/>
  <c r="L7" i="6"/>
  <c r="C23" i="6"/>
  <c r="B40" i="6" s="1"/>
  <c r="E30" i="15" s="1"/>
  <c r="L4" i="11"/>
  <c r="L4" i="7"/>
  <c r="L2" i="11"/>
  <c r="B22" i="11"/>
  <c r="B37" i="11" s="1"/>
  <c r="L2" i="7"/>
  <c r="L4" i="6"/>
  <c r="L2" i="6"/>
  <c r="B23" i="6"/>
  <c r="B38" i="6" s="1"/>
  <c r="E28" i="15" s="1"/>
  <c r="L4" i="2"/>
  <c r="L2" i="2"/>
  <c r="L2" i="5"/>
  <c r="B21" i="5"/>
  <c r="B36" i="5" s="1"/>
  <c r="B15" i="3"/>
  <c r="B30" i="3" s="1"/>
  <c r="L2" i="3"/>
  <c r="C15" i="3"/>
  <c r="B32" i="3" s="1"/>
  <c r="L4" i="13"/>
  <c r="L2" i="13"/>
  <c r="L2" i="4"/>
  <c r="B49" i="15" l="1"/>
  <c r="B42" i="5"/>
  <c r="B48" i="20"/>
  <c r="B69" i="15"/>
  <c r="B43" i="11"/>
  <c r="B47" i="11" s="1"/>
  <c r="D22" i="4"/>
  <c r="B47" i="19"/>
  <c r="E75" i="15"/>
  <c r="B36" i="1"/>
  <c r="B40" i="1" s="1"/>
  <c r="B36" i="16"/>
  <c r="B40" i="16" s="1"/>
  <c r="B22" i="2"/>
  <c r="B37" i="2" s="1"/>
  <c r="D22" i="11"/>
  <c r="B23" i="7"/>
  <c r="B34" i="7" s="1"/>
  <c r="E49" i="15" s="1"/>
  <c r="D23" i="7"/>
  <c r="D21" i="5"/>
  <c r="D15" i="3"/>
  <c r="D23" i="6"/>
  <c r="D22" i="2"/>
  <c r="E79" i="15" l="1"/>
  <c r="E18" i="15"/>
  <c r="B42" i="1"/>
  <c r="B79" i="15"/>
  <c r="B40" i="7"/>
  <c r="B45" i="7" s="1"/>
  <c r="E59" i="15" s="1"/>
  <c r="B46" i="5"/>
  <c r="B59" i="15" s="1"/>
  <c r="B44" i="6"/>
  <c r="B48" i="6" s="1"/>
  <c r="E38" i="15" s="1"/>
  <c r="B43" i="2"/>
  <c r="B47" i="2" s="1"/>
  <c r="B36" i="3"/>
  <c r="B43" i="4"/>
  <c r="B18" i="15" s="1"/>
  <c r="B75" i="15" l="1"/>
  <c r="E34" i="15"/>
  <c r="E55" i="15"/>
  <c r="B55" i="15"/>
  <c r="B40" i="3"/>
  <c r="B14" i="15"/>
  <c r="K2" i="22"/>
  <c r="J2" i="22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<sst xmlns="http://schemas.openxmlformats.org/spreadsheetml/2006/main" count="2405" uniqueCount="254">
  <si>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</si>
  <si>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</si>
  <si>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</si>
  <si>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</si>
  <si>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</si>
  <si>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</si>
  <si>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</si>
  <si>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</si>
  <si>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</si>
  <si>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</si>
  <si>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</si>
  <si>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</si>
  <si>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</si>
  <si>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</si>
  <si>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</si>
  <si>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</si>
  <si>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</si>
  <si>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</si>
  <si>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</si>
  <si>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</si>
  <si>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</si>
  <si>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</si>
  <si>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</si>
  <si>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</si>
  <si>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</si>
  <si>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</si>
  <si>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</si>
  <si>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</si>
  <si>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</si>
  <si>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</si>
  <si>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</si>
  <si>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</si>
  <si>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</si>
  <si>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</si>
  <si>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</si>
  <si>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</si>
  <si>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</si>
  <si>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</si>
  <si>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</si>
  <si>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</si>
  <si>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</si>
  <si>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</si>
  <si>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</si>
  <si>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</si>
  <si>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</si>
  <si>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</si>
  <si>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</si>
  <si>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</si>
  <si>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</si>
  <si>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</si>
  <si>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</si>
  <si>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</si>
  <si>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</si>
  <si>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</si>
  <si>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</si>
  <si>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</si>
  <si>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</si>
  <si>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</si>
  <si>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</si>
  <si>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</si>
  <si>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</si>
  <si>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</si>
  <si>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</si>
  <si>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</si>
  <si>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</si>
  <si>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</si>
  <si>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</si>
  <si>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</si>
  <si>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</si>
  <si>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</si>
  <si>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</si>
  <si>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</si>
  <si>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</si>
  <si>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</si>
  <si>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</si>
  <si>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</si>
  <si>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</si>
  <si>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</si>
  <si>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</si>
  <si>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</si>
  <si>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</si>
  <si>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</si>
  <si>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</si>
  <si>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</si>
  <si>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</si>
  <si>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</si>
  <si>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</si>
  <si>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</si>
  <si>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</si>
  <si>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</si>
  <si>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</si>
  <si>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</si>
  <si>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</si>
  <si>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Kent</t>
  </si>
  <si>
    <t>kent</t>
  </si>
  <si>
    <t>Cook</t>
  </si>
  <si>
    <t>10:00</t>
  </si>
  <si>
    <t>08:00</t>
  </si>
  <si>
    <t>21:35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</si>
  <si>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</si>
  <si>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</si>
  <si>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</si>
  <si>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</si>
  <si>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</si>
  <si>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</si>
  <si>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</si>
  <si>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</si>
  <si>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</si>
  <si>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</si>
  <si>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pepito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</si>
  <si>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</si>
  <si>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</si>
  <si>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</si>
  <si>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</si>
  <si>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</si>
  <si>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</si>
  <si>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</si>
  <si>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</si>
  <si>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sheen valles</t>
  </si>
  <si>
    <t>21:22</t>
  </si>
  <si>
    <t>Sheen Valles</t>
  </si>
  <si>
    <t>8:00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</si>
  <si>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</si>
  <si>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</si>
  <si>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</si>
  <si>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</si>
  <si>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</si>
  <si>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</si>
  <si>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</si>
  <si>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</si>
  <si>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</si>
  <si>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</si>
  <si>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</si>
  <si>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</si>
  <si>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08:50</t>
  </si>
  <si>
    <t>09:06</t>
  </si>
  <si>
    <t>21:15</t>
  </si>
  <si>
    <t>09:07</t>
  </si>
  <si>
    <t>2026-05-04</t>
  </si>
  <si>
    <t>aldrin</t>
  </si>
  <si>
    <t>9:00</t>
  </si>
  <si>
    <t>14:00</t>
  </si>
  <si>
    <t>2026-05-16</t>
  </si>
  <si>
    <t>08:48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</si>
  <si>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</si>
  <si>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</si>
  <si>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</si>
  <si>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</si>
  <si>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</si>
  <si>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</si>
  <si>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</si>
  <si>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</si>
  <si>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</si>
  <si>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08:53</t>
  </si>
  <si>
    <t>2026-05-26</t>
  </si>
  <si>
    <t>2026-05-27</t>
  </si>
  <si>
    <t>2026-05-28</t>
  </si>
  <si>
    <t>2026-05-29</t>
  </si>
  <si>
    <t>2026-05-30</t>
  </si>
  <si>
    <t>2026-05-31</t>
  </si>
  <si>
    <t>21:36</t>
  </si>
  <si>
    <t>08:52</t>
  </si>
  <si>
    <t>08:55</t>
  </si>
  <si>
    <t>renelyn</t>
  </si>
  <si>
    <t>21:25</t>
  </si>
  <si>
    <t>Niel</t>
  </si>
  <si>
    <t>2026-06-01</t>
  </si>
  <si>
    <t>08:54</t>
  </si>
  <si>
    <t>2026-06-03</t>
  </si>
  <si>
    <t>21:34</t>
  </si>
  <si>
    <t>2026-06-07</t>
  </si>
  <si>
    <t>2026-06-08</t>
  </si>
  <si>
    <t>21:40</t>
  </si>
  <si>
    <t>2026-06-14</t>
  </si>
  <si>
    <t>2026-06-15</t>
  </si>
  <si>
    <t>21:21</t>
  </si>
  <si>
    <t>21:33</t>
  </si>
  <si>
    <t>Renelyn</t>
  </si>
  <si>
    <t>May-31 to Jun-15, 2026</t>
  </si>
  <si>
    <t>.</t>
  </si>
  <si>
    <t>Time1</t>
  </si>
  <si>
    <t>Time2</t>
  </si>
  <si>
    <t>Late time</t>
  </si>
  <si>
    <t>Early time</t>
  </si>
  <si>
    <t>Total</t>
  </si>
  <si>
    <t>Remark</t>
  </si>
  <si>
    <t>In</t>
  </si>
  <si>
    <t>Out</t>
  </si>
  <si>
    <t>chad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</si>
  <si>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</si>
  <si>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</si>
  <si>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</si>
  <si>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</si>
  <si>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</si>
  <si>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</si>
  <si>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</si>
  <si>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</si>
  <si>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</si>
  <si>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</si>
  <si>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</si>
  <si>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</si>
  <si>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</si>
  <si>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</si>
  <si>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</si>
  <si>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21:29</t>
  </si>
  <si>
    <t>21:50</t>
  </si>
  <si>
    <t>14:43</t>
  </si>
  <si>
    <t>21:37</t>
  </si>
  <si>
    <t>08:56</t>
  </si>
  <si>
    <t>21:39</t>
  </si>
  <si>
    <t>21:55</t>
  </si>
  <si>
    <t>21:19</t>
  </si>
  <si>
    <t>09:11</t>
  </si>
  <si>
    <t>17:57</t>
  </si>
  <si>
    <t>08:37</t>
  </si>
  <si>
    <t>21:26</t>
  </si>
  <si>
    <t>21:18</t>
  </si>
  <si>
    <t>09:19</t>
  </si>
  <si>
    <t>21:08</t>
  </si>
  <si>
    <t>21:05</t>
  </si>
  <si>
    <t>08:49</t>
  </si>
  <si>
    <t>21:11</t>
  </si>
  <si>
    <t>ralph</t>
  </si>
  <si>
    <t>21:43</t>
  </si>
  <si>
    <t>22:05</t>
  </si>
  <si>
    <t>21:44</t>
  </si>
  <si>
    <t>09:09</t>
  </si>
  <si>
    <t>17:58</t>
  </si>
  <si>
    <t>21:42</t>
  </si>
  <si>
    <t>10:13</t>
  </si>
  <si>
    <t>16:44</t>
  </si>
  <si>
    <t>22:12</t>
  </si>
  <si>
    <t>08:51</t>
  </si>
  <si>
    <t>22:06</t>
  </si>
  <si>
    <t>09:08</t>
  </si>
  <si>
    <t>21:07</t>
  </si>
  <si>
    <t>09:14</t>
  </si>
  <si>
    <t>09:16</t>
  </si>
  <si>
    <t>21:02</t>
  </si>
  <si>
    <t>Ralph</t>
  </si>
  <si>
    <t>21:10</t>
  </si>
  <si>
    <t>18:20</t>
  </si>
  <si>
    <t>21:20</t>
  </si>
  <si>
    <t>21:14</t>
  </si>
  <si>
    <t>21:13</t>
  </si>
  <si>
    <t>21:12</t>
  </si>
  <si>
    <t>21:32</t>
  </si>
  <si>
    <t>21:03</t>
  </si>
  <si>
    <t>Nino</t>
  </si>
  <si>
    <t>Short Remit</t>
  </si>
  <si>
    <t>Pecho Solo</t>
  </si>
  <si>
    <t>Advance Salary</t>
  </si>
  <si>
    <t>Allowance</t>
  </si>
  <si>
    <t>Jun-16 to Jun-30,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</si>
</sst>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wrapText="1"/>
    </xf>
    <xf numFmtId="0" fontId="6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tabSelected="1" view="pageBreakPreview" zoomScale="130" zoomScaleNormal="100" zoomScaleSheetLayoutView="130" workbookViewId="0">
      <selection activeCell="G20" sqref="G20"/>
    </sheetView>
  </sheetViews>
  <sheetFormatPr defaultRowHeight="14.4" x14ac:dyDescent="0.3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 x14ac:dyDescent="0.3">
      <c r="A1" s="34" t="s">
        <v>39</v>
      </c>
      <c r="B1" s="34"/>
      <c r="D1" s="34" t="s">
        <v>39</v>
      </c>
      <c r="E1" s="34"/>
    </row>
    <row r="2" spans="1:5" x14ac:dyDescent="0.3">
      <c r="A2" s="18" t="str">
        <f>Kent!A31</f>
        <v>Name:</v>
      </c>
      <c r="B2" s="18" t="str">
        <f>Kent!B31</f>
        <v>Kent</v>
      </c>
      <c r="C2" s="7"/>
      <c r="D2" s="18" t="str">
        <f>'Jay Anne'!A24</f>
        <v>Name:</v>
      </c>
      <c r="E2" s="18" t="str">
        <f>Micky!B31</f>
        <v>Micky</v>
      </c>
    </row>
    <row r="3" spans="1:5" x14ac:dyDescent="0.3">
      <c r="A3" s="18" t="str">
        <f>Kent!A32</f>
        <v>Job Title:</v>
      </c>
      <c r="B3" s="18" t="str">
        <f>Kent!B32</f>
        <v>Cook</v>
      </c>
      <c r="C3" s="7"/>
      <c r="D3" s="18" t="str">
        <f>'Jay Anne'!A25</f>
        <v>Job Title:</v>
      </c>
      <c r="E3" s="18" t="str">
        <f>Micky!B32</f>
        <v>Staff</v>
      </c>
    </row>
    <row r="4" spans="1:5" x14ac:dyDescent="0.3">
      <c r="A4" s="18" t="str">
        <f>Kent!A33</f>
        <v>Payment Date:</v>
      </c>
      <c r="B4" s="19">
        <f>Kent!B33</f>
        <v>46208</v>
      </c>
      <c r="C4" s="7"/>
      <c r="D4" s="18" t="str">
        <f>'Jay Anne'!A26</f>
        <v>Payment Date:</v>
      </c>
      <c r="E4" s="32">
        <f>Micky!B33</f>
        <v>46208</v>
      </c>
    </row>
    <row r="5" spans="1:5" x14ac:dyDescent="0.3">
      <c r="A5" s="18" t="str">
        <f>Kent!A34</f>
        <v>Cut Off Period:</v>
      </c>
      <c r="B5" s="18" t="str">
        <f>Kent!B34</f>
        <v>Jun-16 to Jun-30, 2026</v>
      </c>
      <c r="C5" s="7"/>
      <c r="D5" s="18" t="str">
        <f>'Jay Anne'!A27</f>
        <v>Cut Off Period:</v>
      </c>
      <c r="E5" s="18" t="str">
        <f>Micky!B34</f>
        <v>Jun-16 to Jun-30, 2026</v>
      </c>
    </row>
    <row r="6" spans="1:5" x14ac:dyDescent="0.3">
      <c r="A6" s="18" t="str">
        <f>Kent!A35</f>
        <v>Days Worked</v>
      </c>
      <c r="B6" s="18">
        <f>Kent!B35</f>
        <v>9</v>
      </c>
      <c r="C6" s="7"/>
      <c r="D6" s="18" t="str">
        <f>'Jay Anne'!A28</f>
        <v>Days Worked</v>
      </c>
      <c r="E6" s="18">
        <f>Micky!B35</f>
        <v>12</v>
      </c>
    </row>
    <row r="7" spans="1:5" x14ac:dyDescent="0.3">
      <c r="A7" s="20" t="str">
        <f>Kent!A36</f>
        <v>Adjustments</v>
      </c>
      <c r="B7" s="18"/>
      <c r="C7" s="7"/>
      <c r="D7" s="20" t="str">
        <f>'Jay Anne'!A29</f>
        <v>Adjustments</v>
      </c>
      <c r="E7" s="18"/>
    </row>
    <row r="8" spans="1:5" x14ac:dyDescent="0.3">
      <c r="A8" s="18" t="str">
        <f>Kent!A37</f>
        <v>Basic Pay</v>
      </c>
      <c r="B8" s="14">
        <f>Kent!B37</f>
        <v>3150</v>
      </c>
      <c r="C8" s="7"/>
      <c r="D8" s="18" t="str">
        <f>'Jay Anne'!A30</f>
        <v>Basic Pay</v>
      </c>
      <c r="E8" s="14">
        <f>Micky!B37</f>
        <v>3535.625</v>
      </c>
    </row>
    <row r="9" spans="1:5" x14ac:dyDescent="0.3">
      <c r="A9" s="18" t="str">
        <f>Kent!A38</f>
        <v>Bonus/Incentives</v>
      </c>
      <c r="B9" s="14">
        <f>Kent!B38</f>
        <v>0</v>
      </c>
      <c r="C9" s="7"/>
      <c r="D9" s="18" t="str">
        <f>'Jay Anne'!A31</f>
        <v>Bonus/Incentives</v>
      </c>
      <c r="E9" s="14">
        <f>Micky!B38</f>
        <v>0</v>
      </c>
    </row>
    <row r="10" spans="1:5" x14ac:dyDescent="0.3">
      <c r="A10" s="18" t="str">
        <f>Kent!A39</f>
        <v>Overtime Pay</v>
      </c>
      <c r="B10" s="14">
        <f>Kent!B39</f>
        <v>1370.25</v>
      </c>
      <c r="C10" s="7"/>
      <c r="D10" s="18" t="str">
        <f>'Jay Anne'!A32</f>
        <v>Overtime Pay</v>
      </c>
      <c r="E10" s="14">
        <f>Micky!B39</f>
        <v>1466.25</v>
      </c>
    </row>
    <row r="11" spans="1:5" x14ac:dyDescent="0.3">
      <c r="A11" s="18" t="str">
        <f>Kent!A40</f>
        <v>Other Income</v>
      </c>
      <c r="B11" s="14">
        <f>Kent!B40</f>
        <v>0</v>
      </c>
      <c r="C11" s="7"/>
      <c r="D11" s="18" t="str">
        <f>'Jay Anne'!A33</f>
        <v>Other Income</v>
      </c>
      <c r="E11" s="14">
        <f>Micky!B40</f>
        <v>0</v>
      </c>
    </row>
    <row r="12" spans="1:5" x14ac:dyDescent="0.3">
      <c r="A12" s="18"/>
      <c r="B12" s="14"/>
      <c r="C12" s="7"/>
      <c r="D12" s="18"/>
      <c r="E12" s="14"/>
    </row>
    <row r="13" spans="1:5" x14ac:dyDescent="0.3">
      <c r="A13" s="18"/>
      <c r="B13" s="14"/>
      <c r="C13" s="7"/>
      <c r="D13" s="18"/>
      <c r="E13" s="14"/>
    </row>
    <row r="14" spans="1:5" x14ac:dyDescent="0.3">
      <c r="A14" s="21" t="str">
        <f>Kent!A43</f>
        <v>Gross Pay</v>
      </c>
      <c r="B14" s="14">
        <f>Kent!B43</f>
        <v>4520.25</v>
      </c>
      <c r="C14" s="7"/>
      <c r="D14" s="21" t="str">
        <f>'Jay Anne'!A36</f>
        <v>Gross Pay</v>
      </c>
      <c r="E14" s="14">
        <f>Micky!B43</f>
        <v>5001.875</v>
      </c>
    </row>
    <row r="15" spans="1:5" x14ac:dyDescent="0.3">
      <c r="A15" s="18" t="str">
        <f>Kent!A44</f>
        <v>Deductions</v>
      </c>
      <c r="B15" s="14">
        <f>Kent!B44</f>
        <v>0</v>
      </c>
      <c r="C15" s="7"/>
      <c r="D15" s="18" t="str">
        <f>'Jay Anne'!A37</f>
        <v>Deductions</v>
      </c>
      <c r="E15" s="14">
        <f>Micky!B44</f>
        <v>0</v>
      </c>
    </row>
    <row r="16" spans="1:5" x14ac:dyDescent="0.3">
      <c r="A16" s="18" t="str">
        <f>Kent!A45</f>
        <v>Short Remit</v>
      </c>
      <c r="B16" s="14">
        <f>Kent!B45</f>
        <v>-200</v>
      </c>
      <c r="C16" s="7"/>
      <c r="D16" s="18" t="str">
        <f>'Jay Anne'!A38</f>
        <v>WH Tax</v>
      </c>
      <c r="E16" s="14">
        <f>Micky!B45</f>
        <v>0</v>
      </c>
    </row>
    <row r="17" spans="1:5" x14ac:dyDescent="0.3">
      <c r="A17" s="18"/>
      <c r="B17" s="14"/>
      <c r="C17" s="7"/>
      <c r="D17" s="18"/>
      <c r="E17" s="14"/>
    </row>
    <row r="18" spans="1:5" x14ac:dyDescent="0.3">
      <c r="A18" s="20" t="str">
        <f>Kent!A49</f>
        <v>Net Pay</v>
      </c>
      <c r="B18" s="14">
        <f>Kent!B49</f>
        <v>2125.25</v>
      </c>
      <c r="C18" s="7"/>
      <c r="D18" s="20" t="str">
        <f>'Jay Anne'!A40</f>
        <v>Net Pay</v>
      </c>
      <c r="E18" s="14">
        <f>Micky!B47</f>
        <v>5001.875</v>
      </c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ht="17.399999999999999" x14ac:dyDescent="0.3">
      <c r="A21" s="34" t="s">
        <v>39</v>
      </c>
      <c r="B21" s="34"/>
      <c r="D21" s="34" t="s">
        <v>39</v>
      </c>
      <c r="E21" s="34"/>
    </row>
    <row r="22" spans="1:5" x14ac:dyDescent="0.3">
      <c r="A22" s="18" t="str">
        <f>Kris!A31</f>
        <v>Name:</v>
      </c>
      <c r="B22" s="18" t="str">
        <f>Renelyn!B31</f>
        <v>Renelyn</v>
      </c>
      <c r="C22" s="7"/>
      <c r="D22" s="18" t="str">
        <f>Pepito!A32</f>
        <v>Name:</v>
      </c>
      <c r="E22" s="18" t="str">
        <f>Pepito!B32</f>
        <v>Pepito</v>
      </c>
    </row>
    <row r="23" spans="1:5" x14ac:dyDescent="0.3">
      <c r="A23" s="18" t="str">
        <f>Kris!A32</f>
        <v>Job Title:</v>
      </c>
      <c r="B23" s="18" t="str">
        <f>Renelyn!B32</f>
        <v>Staff</v>
      </c>
      <c r="C23" s="7"/>
      <c r="D23" s="18" t="str">
        <f>Pepito!A33</f>
        <v>Job Title:</v>
      </c>
      <c r="E23" s="18" t="str">
        <f>Pepito!B33</f>
        <v>Staff</v>
      </c>
    </row>
    <row r="24" spans="1:5" x14ac:dyDescent="0.3">
      <c r="A24" s="18" t="str">
        <f>Kris!A33</f>
        <v>Payment Date:</v>
      </c>
      <c r="B24" s="18" t="e">
        <f>Renelyn!B33</f>
        <v>#REF!</v>
      </c>
      <c r="C24" s="7"/>
      <c r="D24" s="18" t="str">
        <f>Pepito!A34</f>
        <v>Payment Date:</v>
      </c>
      <c r="E24" s="19">
        <f>Pepito!B34</f>
        <v>46150</v>
      </c>
    </row>
    <row r="25" spans="1:5" x14ac:dyDescent="0.3">
      <c r="A25" s="18" t="str">
        <f>Kris!A34</f>
        <v>Cut Off Period:</v>
      </c>
      <c r="B25" s="18" t="str">
        <f>Renelyn!B34</f>
        <v>May-31 to Jun-15, 2026</v>
      </c>
      <c r="C25" s="7"/>
      <c r="D25" s="18" t="str">
        <f>Pepito!A35</f>
        <v>Cut Off Period:</v>
      </c>
      <c r="E25" s="18" t="str">
        <f>Pepito!B35</f>
        <v>Jun-16 to Jun-30, 2026</v>
      </c>
    </row>
    <row r="26" spans="1:5" x14ac:dyDescent="0.3">
      <c r="A26" s="18" t="str">
        <f>Kris!A35</f>
        <v>Days Worked</v>
      </c>
      <c r="B26" s="18">
        <f>Renelyn!B35</f>
        <v>11</v>
      </c>
      <c r="C26" s="7"/>
      <c r="D26" s="18" t="str">
        <f>Pepito!A36</f>
        <v>Days Worked</v>
      </c>
      <c r="E26" s="18">
        <f>Pepito!B36</f>
        <v>9</v>
      </c>
    </row>
    <row r="27" spans="1:5" x14ac:dyDescent="0.3">
      <c r="A27" s="20" t="str">
        <f>Kris!A36</f>
        <v>Adjustments</v>
      </c>
      <c r="B27" s="18"/>
      <c r="C27" s="7"/>
      <c r="D27" s="18" t="str">
        <f>Pepito!A37</f>
        <v>Adjustments</v>
      </c>
      <c r="E27" s="18"/>
    </row>
    <row r="28" spans="1:5" x14ac:dyDescent="0.3">
      <c r="A28" s="18" t="str">
        <f>Kris!A37</f>
        <v>Basic Pay</v>
      </c>
      <c r="B28" s="14">
        <f>Renelyn!B37</f>
        <v>3300</v>
      </c>
      <c r="C28" s="7"/>
      <c r="D28" s="18" t="str">
        <f>Pepito!A38</f>
        <v>Basic Pay</v>
      </c>
      <c r="E28" s="14">
        <f>Pepito!B38</f>
        <v>2865.625</v>
      </c>
    </row>
    <row r="29" spans="1:5" x14ac:dyDescent="0.3">
      <c r="A29" s="18" t="str">
        <f>Kris!A38</f>
        <v>Bonus/Incentives</v>
      </c>
      <c r="B29" s="14">
        <f>Renelyn!B38</f>
        <v>0</v>
      </c>
      <c r="C29" s="7"/>
      <c r="D29" s="18" t="str">
        <f>Pepito!A39</f>
        <v>Bonus/Incentives</v>
      </c>
      <c r="E29" s="14">
        <f>Pepito!B39</f>
        <v>0</v>
      </c>
    </row>
    <row r="30" spans="1:5" x14ac:dyDescent="0.3">
      <c r="A30" s="18" t="str">
        <f>Kris!A39</f>
        <v>Overtime Pay</v>
      </c>
      <c r="B30" s="14">
        <f>Renelyn!B39</f>
        <v>1506.75</v>
      </c>
      <c r="C30" s="7"/>
      <c r="D30" s="18" t="str">
        <f>Pepito!A40</f>
        <v>Overtime Pay</v>
      </c>
      <c r="E30" s="14">
        <f>Pepito!B40</f>
        <v>1102.5</v>
      </c>
    </row>
    <row r="31" spans="1:5" x14ac:dyDescent="0.3">
      <c r="A31" s="18" t="str">
        <f>Kris!A40</f>
        <v>Other Income</v>
      </c>
      <c r="B31" s="14">
        <f>Renelyn!B40</f>
        <v>0</v>
      </c>
      <c r="C31" s="7"/>
      <c r="D31" s="18" t="str">
        <f>Pepito!A41</f>
        <v>Other Income</v>
      </c>
      <c r="E31" s="14">
        <f>Pepito!B41</f>
        <v>0</v>
      </c>
    </row>
    <row r="32" spans="1:5" x14ac:dyDescent="0.3">
      <c r="A32" s="18"/>
      <c r="B32" s="14"/>
      <c r="C32" s="7"/>
      <c r="D32" s="18"/>
      <c r="E32" s="14"/>
    </row>
    <row r="33" spans="1:5" x14ac:dyDescent="0.3">
      <c r="A33" s="18"/>
      <c r="B33" s="14"/>
      <c r="C33" s="7"/>
      <c r="D33" s="18"/>
      <c r="E33" s="14"/>
    </row>
    <row r="34" spans="1:5" x14ac:dyDescent="0.3">
      <c r="A34" s="18" t="str">
        <f>Kris!A43</f>
        <v>Gross Pay</v>
      </c>
      <c r="B34" s="14">
        <f>Renelyn!B43</f>
        <v>4806.75</v>
      </c>
      <c r="C34" s="7"/>
      <c r="D34" s="21" t="str">
        <f>Pepito!A44</f>
        <v>Gross Pay</v>
      </c>
      <c r="E34" s="14">
        <f>Pepito!B44</f>
        <v>3968.125</v>
      </c>
    </row>
    <row r="35" spans="1:5" x14ac:dyDescent="0.3">
      <c r="A35" s="18" t="str">
        <f>Kris!A44</f>
        <v>Deductions</v>
      </c>
      <c r="B35" s="14">
        <f>Renelyn!B44</f>
        <v>0</v>
      </c>
      <c r="C35" s="7"/>
      <c r="D35" s="18" t="str">
        <f>Pepito!A45</f>
        <v>Deductions</v>
      </c>
      <c r="E35" s="14">
        <f>Pepito!B45</f>
        <v>0</v>
      </c>
    </row>
    <row r="36" spans="1:5" x14ac:dyDescent="0.3">
      <c r="A36" s="18" t="str">
        <f>Kris!A45</f>
        <v>WH Tax</v>
      </c>
      <c r="B36" s="14">
        <f>Renelyn!B45</f>
        <v>0</v>
      </c>
      <c r="C36" s="7"/>
      <c r="D36" s="18" t="str">
        <f>Pepito!A46</f>
        <v>WH Tax</v>
      </c>
      <c r="E36" s="14">
        <f>Pepito!B46</f>
        <v>0</v>
      </c>
    </row>
    <row r="37" spans="1:5" x14ac:dyDescent="0.3">
      <c r="A37" s="18"/>
      <c r="B37" s="14"/>
      <c r="C37" s="7"/>
      <c r="D37" s="18"/>
      <c r="E37" s="14"/>
    </row>
    <row r="38" spans="1:5" x14ac:dyDescent="0.3">
      <c r="A38" s="20" t="str">
        <f>Kris!A47</f>
        <v>Net Pay</v>
      </c>
      <c r="B38" s="14">
        <f>Renelyn!B47</f>
        <v>4806.75</v>
      </c>
      <c r="C38" s="7"/>
      <c r="D38" s="20" t="str">
        <f>Pepito!A48</f>
        <v>Net Pay</v>
      </c>
      <c r="E38" s="14">
        <f>Pepito!B48</f>
        <v>3968.125</v>
      </c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ht="17.399999999999999" x14ac:dyDescent="0.3">
      <c r="A42" s="34" t="s">
        <v>39</v>
      </c>
      <c r="B42" s="34"/>
      <c r="D42" s="34" t="s">
        <v>39</v>
      </c>
      <c r="E42" s="34"/>
    </row>
    <row r="43" spans="1:5" x14ac:dyDescent="0.3">
      <c r="A43" s="18" t="str">
        <f>Cherry!A30</f>
        <v>Name:</v>
      </c>
      <c r="B43" s="18" t="str">
        <f>Cherry!B30</f>
        <v>Cherry</v>
      </c>
      <c r="C43" s="7"/>
      <c r="D43" s="18" t="str">
        <f>Nino!A28</f>
        <v>Name:</v>
      </c>
      <c r="E43" s="18" t="str">
        <f>Nino!B28</f>
        <v>Nino</v>
      </c>
    </row>
    <row r="44" spans="1:5" x14ac:dyDescent="0.3">
      <c r="A44" s="18" t="str">
        <f>Cherry!A31</f>
        <v>Job Title:</v>
      </c>
      <c r="B44" s="18" t="str">
        <f>Cherry!B31</f>
        <v>Staff</v>
      </c>
      <c r="C44" s="7"/>
      <c r="D44" s="18" t="str">
        <f>Nino!A29</f>
        <v>Job Title:</v>
      </c>
      <c r="E44" s="18" t="str">
        <f>Nino!B29</f>
        <v>Staff</v>
      </c>
    </row>
    <row r="45" spans="1:5" x14ac:dyDescent="0.3">
      <c r="A45" s="18" t="str">
        <f>Cherry!A32</f>
        <v>Payment Date:</v>
      </c>
      <c r="B45" s="19">
        <f>Cherry!B32</f>
        <v>46208</v>
      </c>
      <c r="C45" s="7"/>
      <c r="D45" s="18" t="str">
        <f>Nino!A30</f>
        <v>Payment Date:</v>
      </c>
      <c r="E45" s="19">
        <f>Nino!B30</f>
        <v>46208</v>
      </c>
    </row>
    <row r="46" spans="1:5" x14ac:dyDescent="0.3">
      <c r="A46" s="18" t="str">
        <f>Cherry!A33</f>
        <v>Cut Off Period:</v>
      </c>
      <c r="B46" s="18" t="str">
        <f>Cherry!B33</f>
        <v>Jun-16 to Jun-30, 2026</v>
      </c>
      <c r="C46" s="7"/>
      <c r="D46" s="18" t="str">
        <f>Nino!A31</f>
        <v>Cut Off Period:</v>
      </c>
      <c r="E46" s="18" t="str">
        <f>Nino!B31</f>
        <v>Jun-16 to Jun-30, 2026</v>
      </c>
    </row>
    <row r="47" spans="1:5" x14ac:dyDescent="0.3">
      <c r="A47" s="18" t="str">
        <f>Cherry!A34</f>
        <v>Days Worked</v>
      </c>
      <c r="B47" s="18">
        <f>Cherry!B34</f>
        <v>14</v>
      </c>
      <c r="C47" s="7"/>
      <c r="D47" s="18" t="str">
        <f>Nino!A32</f>
        <v>Days Worked</v>
      </c>
      <c r="E47" s="18">
        <f>Nino!B32</f>
        <v>2</v>
      </c>
    </row>
    <row r="48" spans="1:5" x14ac:dyDescent="0.3">
      <c r="A48" s="20" t="str">
        <f>Cherry!A35</f>
        <v>Adjustments</v>
      </c>
      <c r="B48" s="18"/>
      <c r="C48" s="7"/>
      <c r="D48" s="20" t="str">
        <f>Nino!A33</f>
        <v>Adjustments</v>
      </c>
      <c r="E48" s="18"/>
    </row>
    <row r="49" spans="1:5" x14ac:dyDescent="0.3">
      <c r="A49" s="18" t="str">
        <f>Cherry!A36</f>
        <v>Basic Pay</v>
      </c>
      <c r="B49" s="14">
        <f>Cherry!B36</f>
        <v>5146.09375</v>
      </c>
      <c r="C49" s="7"/>
      <c r="D49" s="18" t="str">
        <f>Nino!A34</f>
        <v>Basic Pay</v>
      </c>
      <c r="E49" s="14">
        <f>Nino!B34</f>
        <v>500</v>
      </c>
    </row>
    <row r="50" spans="1:5" x14ac:dyDescent="0.3">
      <c r="A50" s="18" t="str">
        <f>Cherry!A37</f>
        <v>Bonus/Incentives</v>
      </c>
      <c r="B50" s="14">
        <f>Cherry!B37</f>
        <v>0</v>
      </c>
      <c r="C50" s="7"/>
      <c r="D50" s="18" t="str">
        <f>Nino!A35</f>
        <v>Bonus/Incentives</v>
      </c>
      <c r="E50" s="14">
        <f>Nino!B35</f>
        <v>0</v>
      </c>
    </row>
    <row r="51" spans="1:5" x14ac:dyDescent="0.3">
      <c r="A51" s="18" t="str">
        <f>Cherry!A38</f>
        <v>Overtime Pay</v>
      </c>
      <c r="B51" s="14">
        <f>Cherry!B38</f>
        <v>2376.5625</v>
      </c>
      <c r="C51" s="7"/>
      <c r="D51" s="18" t="str">
        <f>Nino!A36</f>
        <v>Overtime Pay</v>
      </c>
      <c r="E51" s="14">
        <f>Nino!B36</f>
        <v>229.375</v>
      </c>
    </row>
    <row r="52" spans="1:5" x14ac:dyDescent="0.3">
      <c r="A52" s="18" t="str">
        <f>Cherry!A39</f>
        <v>Other Income</v>
      </c>
      <c r="B52" s="14">
        <f>Cherry!B39</f>
        <v>0</v>
      </c>
      <c r="C52" s="7"/>
      <c r="D52" s="18" t="str">
        <f>Nino!A37</f>
        <v>Other Income</v>
      </c>
      <c r="E52" s="14">
        <f>Nino!B37</f>
        <v>0</v>
      </c>
    </row>
    <row r="53" spans="1:5" x14ac:dyDescent="0.3">
      <c r="A53" s="18"/>
      <c r="B53" s="14"/>
      <c r="C53" s="7"/>
      <c r="D53" s="18"/>
      <c r="E53" s="14"/>
    </row>
    <row r="54" spans="1:5" x14ac:dyDescent="0.3">
      <c r="A54" s="18"/>
      <c r="B54" s="14"/>
      <c r="C54" s="7"/>
      <c r="D54" s="18"/>
      <c r="E54" s="14"/>
    </row>
    <row r="55" spans="1:5" x14ac:dyDescent="0.3">
      <c r="A55" s="18" t="str">
        <f>Cherry!A42</f>
        <v>Gross Pay</v>
      </c>
      <c r="B55" s="14">
        <f>Cherry!B42</f>
        <v>7522.65625</v>
      </c>
      <c r="C55" s="7"/>
      <c r="D55" s="18" t="str">
        <f>Nino!A40</f>
        <v>Gross Pay</v>
      </c>
      <c r="E55" s="14">
        <f>Nino!B40</f>
        <v>729.375</v>
      </c>
    </row>
    <row r="56" spans="1:5" x14ac:dyDescent="0.3">
      <c r="A56" s="18" t="str">
        <f>Cherry!A43</f>
        <v>Deductions</v>
      </c>
      <c r="B56" s="14">
        <f>Cherry!B43</f>
        <v>0</v>
      </c>
      <c r="C56" s="7"/>
      <c r="D56" s="18" t="str">
        <f>Nino!A41</f>
        <v>Deductions</v>
      </c>
      <c r="E56" s="14">
        <f>Nino!B41</f>
        <v>0</v>
      </c>
    </row>
    <row r="57" spans="1:5" x14ac:dyDescent="0.3">
      <c r="A57" s="18" t="str">
        <f>Cherry!A44</f>
        <v>WH Tax</v>
      </c>
      <c r="B57" s="14">
        <f>Cherry!B44</f>
        <v>0</v>
      </c>
      <c r="C57" s="7"/>
      <c r="D57" s="18" t="s">
        <v>52</v>
      </c>
      <c r="E57" s="14">
        <v>0</v>
      </c>
    </row>
    <row r="58" spans="1:5" x14ac:dyDescent="0.3">
      <c r="A58" s="18"/>
      <c r="B58" s="14"/>
      <c r="C58" s="7"/>
      <c r="D58" s="18"/>
      <c r="E58" s="14"/>
    </row>
    <row r="59" spans="1:5" x14ac:dyDescent="0.3">
      <c r="A59" s="20" t="str">
        <f>Cherry!A46</f>
        <v>Net Pay</v>
      </c>
      <c r="B59" s="14">
        <f>Cherry!B46</f>
        <v>7522.65625</v>
      </c>
      <c r="C59" s="7"/>
      <c r="D59" s="20" t="str">
        <f>Nino!A45</f>
        <v>Net Pay</v>
      </c>
      <c r="E59" s="14">
        <f>Nino!B45</f>
        <v>729.375</v>
      </c>
    </row>
    <row r="60" spans="1:5" x14ac:dyDescent="0.3">
      <c r="A60" s="7"/>
      <c r="B60" s="7"/>
      <c r="C60" s="7"/>
      <c r="D60" s="7"/>
      <c r="E60" s="7"/>
    </row>
    <row r="62" spans="1:5" ht="17.399999999999999" x14ac:dyDescent="0.3">
      <c r="A62" s="34" t="s">
        <v>39</v>
      </c>
      <c r="B62" s="34"/>
      <c r="D62" s="34" t="s">
        <v>39</v>
      </c>
      <c r="E62" s="34"/>
    </row>
    <row r="63" spans="1:5" x14ac:dyDescent="0.3">
      <c r="A63" s="10" t="str">
        <f>Ralph!A31</f>
        <v>Name:</v>
      </c>
      <c r="B63" s="10" t="str">
        <f>Ralph!B31</f>
        <v>Ralph</v>
      </c>
      <c r="D63" s="10" t="str">
        <f>Chardiya!A24</f>
        <v>Name:</v>
      </c>
      <c r="E63" s="10" t="str">
        <f>Micky!B31</f>
        <v>Micky</v>
      </c>
    </row>
    <row r="64" spans="1:5" x14ac:dyDescent="0.3">
      <c r="A64" s="10" t="str">
        <f>Ralph!A32</f>
        <v>Job Title:</v>
      </c>
      <c r="B64" s="10" t="str">
        <f>Ralph!B32</f>
        <v>Staff</v>
      </c>
      <c r="D64" s="10" t="str">
        <f>Chardiya!A25</f>
        <v>Job Title:</v>
      </c>
      <c r="E64" s="10" t="str">
        <f>Micky!B32</f>
        <v>Staff</v>
      </c>
    </row>
    <row r="65" spans="1:5" x14ac:dyDescent="0.3">
      <c r="A65" s="10" t="str">
        <f>Ralph!A33</f>
        <v>Payment Date:</v>
      </c>
      <c r="B65" s="19">
        <f>Ralph!B33</f>
        <v>46208</v>
      </c>
      <c r="D65" s="10" t="str">
        <f>Chardiya!A26</f>
        <v>Payment Date:</v>
      </c>
      <c r="E65" s="10">
        <f>Micky!B33</f>
        <v>46208</v>
      </c>
    </row>
    <row r="66" spans="1:5" x14ac:dyDescent="0.3">
      <c r="A66" s="10" t="str">
        <f>Ralph!A34</f>
        <v>Cut Off Period:</v>
      </c>
      <c r="B66" s="10" t="str">
        <f>Ralph!B34</f>
        <v>Jun-16 to Jun-30, 2026</v>
      </c>
      <c r="D66" s="10" t="str">
        <f>Chardiya!A27</f>
        <v>Cut Off Period:</v>
      </c>
      <c r="E66" s="10" t="str">
        <f>Micky!B34</f>
        <v>Jun-16 to Jun-30, 2026</v>
      </c>
    </row>
    <row r="67" spans="1:5" x14ac:dyDescent="0.3">
      <c r="A67" s="10" t="str">
        <f>Ralph!A35</f>
        <v>Days Worked</v>
      </c>
      <c r="B67" s="10">
        <f>Ralph!B35</f>
        <v>11</v>
      </c>
      <c r="D67" s="10" t="str">
        <f>Chardiya!A28</f>
        <v>Days Worked</v>
      </c>
      <c r="E67" s="10">
        <f>Micky!B35</f>
        <v>12</v>
      </c>
    </row>
    <row r="68" spans="1:5" x14ac:dyDescent="0.3">
      <c r="A68" s="13" t="str">
        <f>Ralph!A36</f>
        <v>Adjustments</v>
      </c>
      <c r="B68" s="10"/>
      <c r="D68" s="13" t="str">
        <f>Chardiya!A29</f>
        <v>Adjustments</v>
      </c>
      <c r="E68" s="10"/>
    </row>
    <row r="69" spans="1:5" x14ac:dyDescent="0.3">
      <c r="A69" s="10" t="str">
        <f>Ralph!A37</f>
        <v>Basic Pay</v>
      </c>
      <c r="B69" s="14">
        <f>Ralph!B37</f>
        <v>2640.625</v>
      </c>
      <c r="D69" s="10" t="str">
        <f>Chardiya!A30</f>
        <v>Basic Pay</v>
      </c>
      <c r="E69" s="14">
        <f>Micky!B37</f>
        <v>3535.625</v>
      </c>
    </row>
    <row r="70" spans="1:5" x14ac:dyDescent="0.3">
      <c r="A70" s="10" t="str">
        <f>Ralph!A38</f>
        <v>Bonus/Incentives</v>
      </c>
      <c r="B70" s="14">
        <f>Ralph!B38</f>
        <v>0</v>
      </c>
      <c r="D70" s="10" t="str">
        <f>Chardiya!A31</f>
        <v>Bonus/Incentives</v>
      </c>
      <c r="E70" s="14">
        <f>Micky!B38</f>
        <v>0</v>
      </c>
    </row>
    <row r="71" spans="1:5" x14ac:dyDescent="0.3">
      <c r="A71" s="10" t="str">
        <f>Ralph!A39</f>
        <v>Overtime Pay</v>
      </c>
      <c r="B71" s="14">
        <f>Ralph!B39</f>
        <v>1115.625</v>
      </c>
      <c r="D71" s="10" t="str">
        <f>Chardiya!A32</f>
        <v>Overtime Pay</v>
      </c>
      <c r="E71" s="14">
        <f>Micky!B39</f>
        <v>1466.25</v>
      </c>
    </row>
    <row r="72" spans="1:5" x14ac:dyDescent="0.3">
      <c r="A72" s="10" t="str">
        <f>Ralph!A40</f>
        <v>Other Income</v>
      </c>
      <c r="B72" s="14">
        <f>Ralph!B40</f>
        <v>0</v>
      </c>
      <c r="D72" s="10" t="str">
        <f>Chardiya!A33</f>
        <v>Other Income</v>
      </c>
      <c r="E72" s="14">
        <f>Micky!B40</f>
        <v>0</v>
      </c>
    </row>
    <row r="73" spans="1:5" x14ac:dyDescent="0.3">
      <c r="A73" s="10"/>
      <c r="B73" s="14"/>
      <c r="D73" s="10"/>
      <c r="E73" s="14"/>
    </row>
    <row r="74" spans="1:5" x14ac:dyDescent="0.3">
      <c r="A74" s="10"/>
      <c r="B74" s="14"/>
      <c r="D74" s="10"/>
      <c r="E74" s="14"/>
    </row>
    <row r="75" spans="1:5" x14ac:dyDescent="0.3">
      <c r="A75" s="10" t="str">
        <f>Ralph!A43</f>
        <v>Gross Pay</v>
      </c>
      <c r="B75" s="14">
        <f>Ralph!B43</f>
        <v>3756.25</v>
      </c>
      <c r="D75" s="10" t="str">
        <f>Chardiya!A36</f>
        <v>Gross Pay</v>
      </c>
      <c r="E75" s="14">
        <f>Micky!B43</f>
        <v>5001.875</v>
      </c>
    </row>
    <row r="76" spans="1:5" x14ac:dyDescent="0.3">
      <c r="A76" s="10" t="str">
        <f>Ralph!A44</f>
        <v>Deductions</v>
      </c>
      <c r="B76" s="14">
        <f>Ralph!B44</f>
        <v>-1000</v>
      </c>
      <c r="D76" s="10" t="str">
        <f>Chardiya!A37</f>
        <v>Deductions</v>
      </c>
      <c r="E76" s="14">
        <f>Micky!B44</f>
        <v>0</v>
      </c>
    </row>
    <row r="77" spans="1:5" x14ac:dyDescent="0.3">
      <c r="A77" s="10" t="str">
        <f>Ralph!A45</f>
        <v>WH Tax</v>
      </c>
      <c r="B77" s="14">
        <f>Ralph!B45</f>
        <v>0</v>
      </c>
      <c r="D77" s="10" t="str">
        <f>Chardiya!A38</f>
        <v>WH Tax</v>
      </c>
      <c r="E77" s="14">
        <f>Micky!B45</f>
        <v>0</v>
      </c>
    </row>
    <row r="78" spans="1:5" x14ac:dyDescent="0.3">
      <c r="A78" s="10"/>
      <c r="B78" s="14"/>
      <c r="D78" s="10"/>
      <c r="E78" s="14"/>
    </row>
    <row r="79" spans="1:5" x14ac:dyDescent="0.3">
      <c r="A79" s="13" t="str">
        <f>Ralph!A47</f>
        <v>Net Pay</v>
      </c>
      <c r="B79" s="14">
        <f>Ralph!B47</f>
        <v>2756.25</v>
      </c>
      <c r="D79" s="13" t="str">
        <f>Chardiya!A40</f>
        <v>Net Pay</v>
      </c>
      <c r="E79" s="14">
        <f>Micky!B47</f>
        <v>5001.875</v>
      </c>
    </row>
    <row r="82" spans="1:5" ht="17.399999999999999" x14ac:dyDescent="0.3">
      <c r="A82" s="38" t="s">
        <v>39</v>
      </c>
      <c r="B82" s="38"/>
      <c r="D82" s="34" t="s">
        <v>39</v>
      </c>
      <c r="E82" s="34"/>
    </row>
    <row r="83" spans="1:5" x14ac:dyDescent="0.3">
      <c r="A83" s="10" t="s">
        <v>40</v>
      </c>
      <c r="B83" s="10" t="s">
        <v>93</v>
      </c>
      <c r="D83" s="10" t="str">
        <f>David!A24</f>
        <v>Name:</v>
      </c>
      <c r="E83" s="10" t="str">
        <f>David!B24</f>
        <v>David</v>
      </c>
    </row>
    <row r="84" spans="1:5" x14ac:dyDescent="0.3">
      <c r="A84" s="10" t="s">
        <v>41</v>
      </c>
      <c r="B84" s="10" t="s">
        <v>95</v>
      </c>
      <c r="D84" s="10" t="str">
        <f>David!A25</f>
        <v>Job Title:</v>
      </c>
      <c r="E84" s="10" t="str">
        <f>David!B25</f>
        <v>Staff</v>
      </c>
    </row>
    <row r="85" spans="1:5" x14ac:dyDescent="0.3">
      <c r="A85" s="10" t="s">
        <v>42</v>
      </c>
      <c r="B85" s="19">
        <v>46208</v>
      </c>
      <c r="D85" s="10" t="str">
        <f>David!A26</f>
        <v>Payment Date:</v>
      </c>
      <c r="E85" s="19">
        <f>David!B26</f>
        <v>46193</v>
      </c>
    </row>
    <row r="86" spans="1:5" x14ac:dyDescent="0.3">
      <c r="A86" s="10" t="s">
        <v>50</v>
      </c>
      <c r="B86" s="10" t="s">
        <v>253</v>
      </c>
      <c r="D86" s="10" t="str">
        <f>David!A27</f>
        <v>Cut Off Period:</v>
      </c>
      <c r="E86" s="10" t="str">
        <f>David!B27</f>
        <v>Jun-16 to Jun-30, 2026</v>
      </c>
    </row>
    <row r="87" spans="1:5" x14ac:dyDescent="0.3">
      <c r="A87" s="10" t="s">
        <v>63</v>
      </c>
      <c r="B87" s="10">
        <v>9</v>
      </c>
      <c r="D87" s="10" t="str">
        <f>David!A28</f>
        <v>Days Worked</v>
      </c>
      <c r="E87" s="10">
        <f>David!B28</f>
        <v>7</v>
      </c>
    </row>
    <row r="88" spans="1:5" x14ac:dyDescent="0.3">
      <c r="A88" s="10" t="s">
        <v>53</v>
      </c>
      <c r="B88" s="10"/>
      <c r="D88" s="10" t="str">
        <f>David!A29</f>
        <v>Adjustments</v>
      </c>
      <c r="E88" s="10"/>
    </row>
    <row r="89" spans="1:5" x14ac:dyDescent="0.3">
      <c r="A89" s="10" t="s">
        <v>44</v>
      </c>
      <c r="B89" s="14">
        <v>3150</v>
      </c>
      <c r="D89" s="10" t="str">
        <f>David!A30</f>
        <v>Basic Pay</v>
      </c>
      <c r="E89" s="14">
        <f>David!B30</f>
        <v>3855</v>
      </c>
    </row>
    <row r="90" spans="1:5" x14ac:dyDescent="0.3">
      <c r="A90" s="10" t="s">
        <v>43</v>
      </c>
      <c r="B90" s="14">
        <v>0</v>
      </c>
      <c r="D90" s="10" t="str">
        <f>David!A31</f>
        <v>Bonus/Incentives</v>
      </c>
      <c r="E90" s="14">
        <f>David!B31</f>
        <v>0</v>
      </c>
    </row>
    <row r="91" spans="1:5" x14ac:dyDescent="0.3">
      <c r="A91" s="10" t="s">
        <v>6</v>
      </c>
      <c r="B91" s="14">
        <v>1370.25</v>
      </c>
      <c r="D91" s="10" t="str">
        <f>David!A32</f>
        <v>Overtime Pay</v>
      </c>
      <c r="E91" s="14">
        <f>David!B32</f>
        <v>0</v>
      </c>
    </row>
    <row r="92" spans="1:5" x14ac:dyDescent="0.3">
      <c r="A92" s="10" t="s">
        <v>45</v>
      </c>
      <c r="B92" s="14">
        <v>0</v>
      </c>
      <c r="D92" s="10" t="str">
        <f>David!A33</f>
        <v>Other Income</v>
      </c>
      <c r="E92" s="14">
        <f>David!B33</f>
        <v>0</v>
      </c>
    </row>
    <row r="93" spans="1:5" x14ac:dyDescent="0.3">
      <c r="A93" s="10"/>
      <c r="B93" s="14"/>
      <c r="D93" s="10">
        <f>David!A34</f>
        <v>0</v>
      </c>
      <c r="E93" s="14"/>
    </row>
    <row r="94" spans="1:5" x14ac:dyDescent="0.3">
      <c r="A94" s="10"/>
      <c r="B94" s="14"/>
      <c r="D94" s="10"/>
      <c r="E94" s="14"/>
    </row>
    <row r="95" spans="1:5" x14ac:dyDescent="0.3">
      <c r="A95" s="10" t="s">
        <v>46</v>
      </c>
      <c r="B95" s="14">
        <v>4520.25</v>
      </c>
      <c r="D95" s="10" t="str">
        <f>David!A36</f>
        <v>Gross Pay</v>
      </c>
      <c r="E95" s="14">
        <f>David!B36</f>
        <v>3855</v>
      </c>
    </row>
    <row r="96" spans="1:5" x14ac:dyDescent="0.3">
      <c r="A96" s="10" t="s">
        <v>47</v>
      </c>
      <c r="B96" s="14"/>
      <c r="D96" s="10" t="str">
        <f>David!A37</f>
        <v>Deductions</v>
      </c>
      <c r="E96" s="14">
        <f>David!B37</f>
        <v>-1147</v>
      </c>
    </row>
    <row r="97" spans="1:5" x14ac:dyDescent="0.3">
      <c r="A97" s="10" t="s">
        <v>249</v>
      </c>
      <c r="B97" s="14">
        <v>-200</v>
      </c>
      <c r="D97" s="10" t="str">
        <f>David!A38</f>
        <v>WH Tax</v>
      </c>
      <c r="E97" s="14">
        <f>David!B38</f>
        <v>0</v>
      </c>
    </row>
    <row r="98" spans="1:5" x14ac:dyDescent="0.3">
      <c r="A98" s="10" t="s">
        <v>250</v>
      </c>
      <c r="B98" s="14">
        <v>-145</v>
      </c>
      <c r="D98" s="10"/>
      <c r="E98" s="14"/>
    </row>
    <row r="99" spans="1:5" x14ac:dyDescent="0.3">
      <c r="A99" s="10" t="s">
        <v>251</v>
      </c>
      <c r="B99" s="14">
        <v>-1750</v>
      </c>
      <c r="D99" s="10" t="str">
        <f>David!A40</f>
        <v>Net Pay</v>
      </c>
      <c r="E99" s="14">
        <f>David!B40</f>
        <v>2708</v>
      </c>
    </row>
    <row r="100" spans="1:5" x14ac:dyDescent="0.3">
      <c r="A100" s="10" t="s">
        <v>252</v>
      </c>
      <c r="B100" s="10">
        <v>-300</v>
      </c>
    </row>
    <row r="101" spans="1:5" x14ac:dyDescent="0.3">
      <c r="A101" s="10" t="s">
        <v>48</v>
      </c>
      <c r="B101" s="10">
        <v>2125.25</v>
      </c>
    </row>
  </sheetData>
  <mergeCells count="9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J167"/>
  <sheetViews>
    <sheetView topLeftCell="A31" workbookViewId="0">
      <selection activeCell="D23" sqref="D23"/>
    </sheetView>
  </sheetViews>
  <sheetFormatPr defaultColWidth="12.109375" defaultRowHeight="14.4" x14ac:dyDescent="0.3"/>
  <sheetData>
    <row r="1" spans="1:10" x14ac:dyDescent="0.3">
      <c r="A1" s="36" t="s">
        <v>38</v>
      </c>
      <c r="B1" s="36" t="s">
        <v>11</v>
      </c>
      <c r="C1" s="36" t="s">
        <v>180</v>
      </c>
      <c r="D1" s="36"/>
      <c r="E1" s="36" t="s">
        <v>181</v>
      </c>
      <c r="F1" s="36"/>
      <c r="G1" s="35" t="s">
        <v>182</v>
      </c>
      <c r="H1" s="35" t="s">
        <v>183</v>
      </c>
      <c r="I1" s="35" t="s">
        <v>184</v>
      </c>
      <c r="J1" s="36" t="s">
        <v>185</v>
      </c>
    </row>
    <row r="2" spans="1:10" x14ac:dyDescent="0.3">
      <c r="A2" s="36"/>
      <c r="B2" s="36"/>
      <c r="C2" s="33" t="s">
        <v>186</v>
      </c>
      <c r="D2" s="33" t="s">
        <v>187</v>
      </c>
      <c r="E2" s="33" t="s">
        <v>186</v>
      </c>
      <c r="F2" s="33" t="s">
        <v>187</v>
      </c>
      <c r="G2" s="36"/>
      <c r="H2" s="36"/>
      <c r="I2" s="36"/>
      <c r="J2" s="36"/>
    </row>
    <row r="3" spans="1:10" x14ac:dyDescent="0.3">
      <c r="A3" s="22" t="s">
        <v>188</v>
      </c>
      <c r="B3" s="4" t="s">
        <v>189</v>
      </c>
      <c r="C3" s="23" t="s">
        <v>72</v>
      </c>
      <c r="D3" s="23" t="s">
        <v>119</v>
      </c>
      <c r="E3" s="23" t="s">
        <v>72</v>
      </c>
      <c r="F3" s="23" t="s">
        <v>72</v>
      </c>
      <c r="G3" s="33">
        <v>0</v>
      </c>
      <c r="H3" s="33">
        <v>128</v>
      </c>
      <c r="I3" s="33">
        <v>128</v>
      </c>
      <c r="J3" s="4"/>
    </row>
    <row r="4" spans="1:10" x14ac:dyDescent="0.3">
      <c r="A4" s="22" t="s">
        <v>188</v>
      </c>
      <c r="B4" s="4" t="s">
        <v>190</v>
      </c>
      <c r="C4" s="23" t="s">
        <v>72</v>
      </c>
      <c r="D4" s="23" t="s">
        <v>72</v>
      </c>
      <c r="E4" s="23" t="s">
        <v>72</v>
      </c>
      <c r="F4" s="23" t="s">
        <v>72</v>
      </c>
      <c r="G4" s="33">
        <v>0</v>
      </c>
      <c r="H4" s="33">
        <v>0</v>
      </c>
      <c r="I4" s="33">
        <v>0</v>
      </c>
      <c r="J4" s="4"/>
    </row>
    <row r="5" spans="1:10" x14ac:dyDescent="0.3">
      <c r="A5" s="22" t="s">
        <v>188</v>
      </c>
      <c r="B5" s="4" t="s">
        <v>191</v>
      </c>
      <c r="C5" s="23" t="s">
        <v>72</v>
      </c>
      <c r="D5" s="23" t="s">
        <v>72</v>
      </c>
      <c r="E5" s="23" t="s">
        <v>72</v>
      </c>
      <c r="F5" s="23" t="s">
        <v>72</v>
      </c>
      <c r="G5" s="33">
        <v>0</v>
      </c>
      <c r="H5" s="33">
        <v>0</v>
      </c>
      <c r="I5" s="33">
        <v>0</v>
      </c>
      <c r="J5" s="4"/>
    </row>
    <row r="6" spans="1:10" x14ac:dyDescent="0.3">
      <c r="A6" s="22" t="s">
        <v>188</v>
      </c>
      <c r="B6" s="4" t="s">
        <v>192</v>
      </c>
      <c r="C6" s="23" t="s">
        <v>72</v>
      </c>
      <c r="D6" s="23" t="s">
        <v>72</v>
      </c>
      <c r="E6" s="23" t="s">
        <v>72</v>
      </c>
      <c r="F6" s="23" t="s">
        <v>72</v>
      </c>
      <c r="G6" s="33">
        <v>0</v>
      </c>
      <c r="H6" s="33">
        <v>0</v>
      </c>
      <c r="I6" s="33">
        <v>0</v>
      </c>
      <c r="J6" s="4"/>
    </row>
    <row r="7" spans="1:10" x14ac:dyDescent="0.3">
      <c r="A7" s="22" t="s">
        <v>188</v>
      </c>
      <c r="B7" s="4" t="s">
        <v>193</v>
      </c>
      <c r="C7" s="23" t="s">
        <v>72</v>
      </c>
      <c r="D7" s="23" t="s">
        <v>72</v>
      </c>
      <c r="E7" s="23" t="s">
        <v>72</v>
      </c>
      <c r="F7" s="23" t="s">
        <v>72</v>
      </c>
      <c r="G7" s="33">
        <v>0</v>
      </c>
      <c r="H7" s="33">
        <v>0</v>
      </c>
      <c r="I7" s="33">
        <v>0</v>
      </c>
      <c r="J7" s="4"/>
    </row>
    <row r="8" spans="1:10" x14ac:dyDescent="0.3">
      <c r="A8" s="22" t="s">
        <v>188</v>
      </c>
      <c r="B8" s="4" t="s">
        <v>194</v>
      </c>
      <c r="C8" s="23" t="s">
        <v>72</v>
      </c>
      <c r="D8" s="23" t="s">
        <v>72</v>
      </c>
      <c r="E8" s="23" t="s">
        <v>72</v>
      </c>
      <c r="F8" s="23" t="s">
        <v>72</v>
      </c>
      <c r="G8" s="33">
        <v>0</v>
      </c>
      <c r="H8" s="33">
        <v>0</v>
      </c>
      <c r="I8" s="33">
        <v>0</v>
      </c>
      <c r="J8" s="4"/>
    </row>
    <row r="9" spans="1:10" x14ac:dyDescent="0.3">
      <c r="A9" s="22" t="s">
        <v>188</v>
      </c>
      <c r="B9" s="4" t="s">
        <v>195</v>
      </c>
      <c r="C9" s="23" t="s">
        <v>72</v>
      </c>
      <c r="D9" s="23" t="s">
        <v>72</v>
      </c>
      <c r="E9" s="23" t="s">
        <v>72</v>
      </c>
      <c r="F9" s="23" t="s">
        <v>72</v>
      </c>
      <c r="G9" s="33">
        <v>0</v>
      </c>
      <c r="H9" s="33">
        <v>0</v>
      </c>
      <c r="I9" s="33">
        <v>0</v>
      </c>
      <c r="J9" s="4"/>
    </row>
    <row r="10" spans="1:10" x14ac:dyDescent="0.3">
      <c r="A10" s="22" t="s">
        <v>188</v>
      </c>
      <c r="B10" s="4" t="s">
        <v>196</v>
      </c>
      <c r="C10" s="23" t="s">
        <v>72</v>
      </c>
      <c r="D10" s="23" t="s">
        <v>72</v>
      </c>
      <c r="E10" s="23" t="s">
        <v>72</v>
      </c>
      <c r="F10" s="23" t="s">
        <v>72</v>
      </c>
      <c r="G10" s="33">
        <v>0</v>
      </c>
      <c r="H10" s="33">
        <v>0</v>
      </c>
      <c r="I10" s="33">
        <v>0</v>
      </c>
      <c r="J10" s="4"/>
    </row>
    <row r="11" spans="1:10" x14ac:dyDescent="0.3">
      <c r="A11" s="22" t="s">
        <v>188</v>
      </c>
      <c r="B11" s="4" t="s">
        <v>197</v>
      </c>
      <c r="C11" s="23" t="s">
        <v>72</v>
      </c>
      <c r="D11" s="23" t="s">
        <v>72</v>
      </c>
      <c r="E11" s="23" t="s">
        <v>72</v>
      </c>
      <c r="F11" s="23" t="s">
        <v>72</v>
      </c>
      <c r="G11" s="33">
        <v>0</v>
      </c>
      <c r="H11" s="33">
        <v>0</v>
      </c>
      <c r="I11" s="33">
        <v>0</v>
      </c>
      <c r="J11" s="4"/>
    </row>
    <row r="12" spans="1:10" x14ac:dyDescent="0.3">
      <c r="A12" s="22" t="s">
        <v>188</v>
      </c>
      <c r="B12" s="4" t="s">
        <v>198</v>
      </c>
      <c r="C12" s="23" t="s">
        <v>72</v>
      </c>
      <c r="D12" s="23" t="s">
        <v>72</v>
      </c>
      <c r="E12" s="23" t="s">
        <v>72</v>
      </c>
      <c r="F12" s="23" t="s">
        <v>72</v>
      </c>
      <c r="G12" s="33">
        <v>0</v>
      </c>
      <c r="H12" s="33">
        <v>0</v>
      </c>
      <c r="I12" s="33">
        <v>0</v>
      </c>
      <c r="J12" s="4"/>
    </row>
    <row r="13" spans="1:10" x14ac:dyDescent="0.3">
      <c r="A13" s="22" t="s">
        <v>188</v>
      </c>
      <c r="B13" s="4" t="s">
        <v>199</v>
      </c>
      <c r="C13" s="23" t="s">
        <v>72</v>
      </c>
      <c r="D13" s="23" t="s">
        <v>72</v>
      </c>
      <c r="E13" s="23" t="s">
        <v>72</v>
      </c>
      <c r="F13" s="23" t="s">
        <v>72</v>
      </c>
      <c r="G13" s="33">
        <v>0</v>
      </c>
      <c r="H13" s="33">
        <v>0</v>
      </c>
      <c r="I13" s="33">
        <v>0</v>
      </c>
      <c r="J13" s="4"/>
    </row>
    <row r="14" spans="1:10" x14ac:dyDescent="0.3">
      <c r="A14" s="22" t="s">
        <v>188</v>
      </c>
      <c r="B14" s="4" t="s">
        <v>200</v>
      </c>
      <c r="C14" s="23" t="s">
        <v>72</v>
      </c>
      <c r="D14" s="23" t="s">
        <v>136</v>
      </c>
      <c r="E14" s="23" t="s">
        <v>72</v>
      </c>
      <c r="F14" s="23" t="s">
        <v>72</v>
      </c>
      <c r="G14" s="33">
        <v>0</v>
      </c>
      <c r="H14" s="33">
        <v>135</v>
      </c>
      <c r="I14" s="33">
        <v>135</v>
      </c>
      <c r="J14" s="4"/>
    </row>
    <row r="15" spans="1:10" x14ac:dyDescent="0.3">
      <c r="A15" s="22" t="s">
        <v>188</v>
      </c>
      <c r="B15" s="4" t="s">
        <v>201</v>
      </c>
      <c r="C15" s="23" t="s">
        <v>72</v>
      </c>
      <c r="D15" s="23" t="s">
        <v>72</v>
      </c>
      <c r="E15" s="23" t="s">
        <v>72</v>
      </c>
      <c r="F15" s="23" t="s">
        <v>72</v>
      </c>
      <c r="G15" s="33">
        <v>0</v>
      </c>
      <c r="H15" s="33">
        <v>0</v>
      </c>
      <c r="I15" s="33">
        <v>0</v>
      </c>
      <c r="J15" s="4"/>
    </row>
    <row r="16" spans="1:10" x14ac:dyDescent="0.3">
      <c r="A16" s="22" t="s">
        <v>188</v>
      </c>
      <c r="B16" s="4" t="s">
        <v>202</v>
      </c>
      <c r="C16" s="23" t="s">
        <v>72</v>
      </c>
      <c r="D16" s="23" t="s">
        <v>72</v>
      </c>
      <c r="E16" s="23" t="s">
        <v>72</v>
      </c>
      <c r="F16" s="23" t="s">
        <v>72</v>
      </c>
      <c r="G16" s="33">
        <v>0</v>
      </c>
      <c r="H16" s="33">
        <v>0</v>
      </c>
      <c r="I16" s="33">
        <v>0</v>
      </c>
      <c r="J16" s="4"/>
    </row>
    <row r="17" spans="1:10" x14ac:dyDescent="0.3">
      <c r="A17" s="22" t="s">
        <v>188</v>
      </c>
      <c r="B17" s="4" t="s">
        <v>203</v>
      </c>
      <c r="C17" s="23" t="s">
        <v>72</v>
      </c>
      <c r="D17" s="23" t="s">
        <v>72</v>
      </c>
      <c r="E17" s="23" t="s">
        <v>72</v>
      </c>
      <c r="F17" s="23" t="s">
        <v>72</v>
      </c>
      <c r="G17" s="33">
        <v>0</v>
      </c>
      <c r="H17" s="33">
        <v>0</v>
      </c>
      <c r="I17" s="33">
        <v>0</v>
      </c>
      <c r="J17" s="4"/>
    </row>
    <row r="18" spans="1:10" x14ac:dyDescent="0.3">
      <c r="A18" s="22" t="s">
        <v>108</v>
      </c>
      <c r="B18" s="4" t="s">
        <v>189</v>
      </c>
      <c r="C18" s="23" t="s">
        <v>68</v>
      </c>
      <c r="D18" s="23" t="s">
        <v>204</v>
      </c>
      <c r="E18" s="23" t="s">
        <v>72</v>
      </c>
      <c r="F18" s="23" t="s">
        <v>72</v>
      </c>
      <c r="G18" s="33">
        <v>33</v>
      </c>
      <c r="H18" s="33">
        <v>121</v>
      </c>
      <c r="I18" s="33">
        <v>154</v>
      </c>
      <c r="J18" s="4"/>
    </row>
    <row r="19" spans="1:10" x14ac:dyDescent="0.3">
      <c r="A19" s="22" t="s">
        <v>108</v>
      </c>
      <c r="B19" s="4" t="s">
        <v>190</v>
      </c>
      <c r="C19" s="23" t="s">
        <v>143</v>
      </c>
      <c r="D19" s="23" t="s">
        <v>205</v>
      </c>
      <c r="E19" s="23" t="s">
        <v>72</v>
      </c>
      <c r="F19" s="23" t="s">
        <v>72</v>
      </c>
      <c r="G19" s="33">
        <v>18</v>
      </c>
      <c r="H19" s="33">
        <v>100</v>
      </c>
      <c r="I19" s="33">
        <v>118</v>
      </c>
      <c r="J19" s="4"/>
    </row>
    <row r="20" spans="1:10" x14ac:dyDescent="0.3">
      <c r="A20" s="22" t="s">
        <v>108</v>
      </c>
      <c r="B20" s="4" t="s">
        <v>191</v>
      </c>
      <c r="C20" s="23" t="s">
        <v>72</v>
      </c>
      <c r="D20" s="23" t="s">
        <v>72</v>
      </c>
      <c r="E20" s="23" t="s">
        <v>72</v>
      </c>
      <c r="F20" s="23" t="s">
        <v>72</v>
      </c>
      <c r="G20" s="33">
        <v>0</v>
      </c>
      <c r="H20" s="33">
        <v>0</v>
      </c>
      <c r="I20" s="33">
        <v>0</v>
      </c>
      <c r="J20" s="4"/>
    </row>
    <row r="21" spans="1:10" x14ac:dyDescent="0.3">
      <c r="A21" s="22" t="s">
        <v>108</v>
      </c>
      <c r="B21" s="4" t="s">
        <v>192</v>
      </c>
      <c r="C21" s="23" t="s">
        <v>206</v>
      </c>
      <c r="D21" s="23" t="s">
        <v>207</v>
      </c>
      <c r="E21" s="23" t="s">
        <v>72</v>
      </c>
      <c r="F21" s="23" t="s">
        <v>72</v>
      </c>
      <c r="G21" s="33">
        <v>373</v>
      </c>
      <c r="H21" s="33">
        <v>113</v>
      </c>
      <c r="I21" s="33">
        <v>486</v>
      </c>
      <c r="J21" s="4"/>
    </row>
    <row r="22" spans="1:10" x14ac:dyDescent="0.3">
      <c r="A22" s="22" t="s">
        <v>108</v>
      </c>
      <c r="B22" s="4" t="s">
        <v>193</v>
      </c>
      <c r="C22" s="23" t="s">
        <v>208</v>
      </c>
      <c r="D22" s="23" t="s">
        <v>209</v>
      </c>
      <c r="E22" s="23" t="s">
        <v>72</v>
      </c>
      <c r="F22" s="23" t="s">
        <v>72</v>
      </c>
      <c r="G22" s="33">
        <v>26</v>
      </c>
      <c r="H22" s="33">
        <v>111</v>
      </c>
      <c r="I22" s="33">
        <v>137</v>
      </c>
      <c r="J22" s="4"/>
    </row>
    <row r="23" spans="1:10" x14ac:dyDescent="0.3">
      <c r="A23" s="22" t="s">
        <v>108</v>
      </c>
      <c r="B23" s="4" t="s">
        <v>194</v>
      </c>
      <c r="C23" s="23" t="s">
        <v>62</v>
      </c>
      <c r="D23" s="23" t="s">
        <v>210</v>
      </c>
      <c r="E23" s="23" t="s">
        <v>72</v>
      </c>
      <c r="F23" s="23" t="s">
        <v>72</v>
      </c>
      <c r="G23" s="33">
        <v>30</v>
      </c>
      <c r="H23" s="33">
        <v>95</v>
      </c>
      <c r="I23" s="33">
        <v>125</v>
      </c>
      <c r="J23" s="4"/>
    </row>
    <row r="24" spans="1:10" x14ac:dyDescent="0.3">
      <c r="A24" s="22" t="s">
        <v>108</v>
      </c>
      <c r="B24" s="4" t="s">
        <v>195</v>
      </c>
      <c r="C24" s="23" t="s">
        <v>69</v>
      </c>
      <c r="D24" s="23" t="s">
        <v>72</v>
      </c>
      <c r="E24" s="23" t="s">
        <v>72</v>
      </c>
      <c r="F24" s="23" t="s">
        <v>72</v>
      </c>
      <c r="G24" s="33">
        <v>34</v>
      </c>
      <c r="H24" s="33">
        <v>0</v>
      </c>
      <c r="I24" s="33">
        <v>34</v>
      </c>
      <c r="J24" s="4"/>
    </row>
    <row r="25" spans="1:10" x14ac:dyDescent="0.3">
      <c r="A25" s="22" t="s">
        <v>108</v>
      </c>
      <c r="B25" s="4" t="s">
        <v>196</v>
      </c>
      <c r="C25" s="23" t="s">
        <v>68</v>
      </c>
      <c r="D25" s="23" t="s">
        <v>211</v>
      </c>
      <c r="E25" s="23" t="s">
        <v>72</v>
      </c>
      <c r="F25" s="23" t="s">
        <v>72</v>
      </c>
      <c r="G25" s="33">
        <v>33</v>
      </c>
      <c r="H25" s="33">
        <v>131</v>
      </c>
      <c r="I25" s="33">
        <v>164</v>
      </c>
      <c r="J25" s="4"/>
    </row>
    <row r="26" spans="1:10" x14ac:dyDescent="0.3">
      <c r="A26" s="22" t="s">
        <v>108</v>
      </c>
      <c r="B26" s="4" t="s">
        <v>197</v>
      </c>
      <c r="C26" s="23" t="s">
        <v>72</v>
      </c>
      <c r="D26" s="23" t="s">
        <v>72</v>
      </c>
      <c r="E26" s="23" t="s">
        <v>72</v>
      </c>
      <c r="F26" s="23" t="s">
        <v>72</v>
      </c>
      <c r="G26" s="33">
        <v>0</v>
      </c>
      <c r="H26" s="33">
        <v>0</v>
      </c>
      <c r="I26" s="33">
        <v>0</v>
      </c>
      <c r="J26" s="4"/>
    </row>
    <row r="27" spans="1:10" x14ac:dyDescent="0.3">
      <c r="A27" s="22" t="s">
        <v>108</v>
      </c>
      <c r="B27" s="4" t="s">
        <v>198</v>
      </c>
      <c r="C27" s="23" t="s">
        <v>72</v>
      </c>
      <c r="D27" s="23" t="s">
        <v>72</v>
      </c>
      <c r="E27" s="23" t="s">
        <v>72</v>
      </c>
      <c r="F27" s="23" t="s">
        <v>72</v>
      </c>
      <c r="G27" s="33">
        <v>0</v>
      </c>
      <c r="H27" s="33">
        <v>0</v>
      </c>
      <c r="I27" s="33">
        <v>0</v>
      </c>
      <c r="J27" s="4"/>
    </row>
    <row r="28" spans="1:10" x14ac:dyDescent="0.3">
      <c r="A28" s="22" t="s">
        <v>108</v>
      </c>
      <c r="B28" s="4" t="s">
        <v>199</v>
      </c>
      <c r="C28" s="23" t="s">
        <v>72</v>
      </c>
      <c r="D28" s="23" t="s">
        <v>72</v>
      </c>
      <c r="E28" s="23" t="s">
        <v>72</v>
      </c>
      <c r="F28" s="23" t="s">
        <v>72</v>
      </c>
      <c r="G28" s="33">
        <v>0</v>
      </c>
      <c r="H28" s="33">
        <v>0</v>
      </c>
      <c r="I28" s="33">
        <v>0</v>
      </c>
      <c r="J28" s="4"/>
    </row>
    <row r="29" spans="1:10" x14ac:dyDescent="0.3">
      <c r="A29" s="22" t="s">
        <v>108</v>
      </c>
      <c r="B29" s="4" t="s">
        <v>200</v>
      </c>
      <c r="C29" s="23" t="s">
        <v>64</v>
      </c>
      <c r="D29" s="23" t="s">
        <v>175</v>
      </c>
      <c r="E29" s="23" t="s">
        <v>72</v>
      </c>
      <c r="F29" s="23" t="s">
        <v>72</v>
      </c>
      <c r="G29" s="33">
        <v>31</v>
      </c>
      <c r="H29" s="33">
        <v>129</v>
      </c>
      <c r="I29" s="33">
        <v>160</v>
      </c>
      <c r="J29" s="4"/>
    </row>
    <row r="30" spans="1:10" x14ac:dyDescent="0.3">
      <c r="A30" s="22" t="s">
        <v>108</v>
      </c>
      <c r="B30" s="4" t="s">
        <v>201</v>
      </c>
      <c r="C30" s="23" t="s">
        <v>72</v>
      </c>
      <c r="D30" s="23" t="s">
        <v>72</v>
      </c>
      <c r="E30" s="23" t="s">
        <v>72</v>
      </c>
      <c r="F30" s="23" t="s">
        <v>72</v>
      </c>
      <c r="G30" s="33">
        <v>0</v>
      </c>
      <c r="H30" s="33">
        <v>0</v>
      </c>
      <c r="I30" s="33">
        <v>0</v>
      </c>
      <c r="J30" s="4"/>
    </row>
    <row r="31" spans="1:10" x14ac:dyDescent="0.3">
      <c r="A31" s="22" t="s">
        <v>108</v>
      </c>
      <c r="B31" s="4" t="s">
        <v>202</v>
      </c>
      <c r="C31" s="23" t="s">
        <v>212</v>
      </c>
      <c r="D31" s="23" t="s">
        <v>213</v>
      </c>
      <c r="E31" s="23" t="s">
        <v>72</v>
      </c>
      <c r="F31" s="23" t="s">
        <v>72</v>
      </c>
      <c r="G31" s="33">
        <v>41</v>
      </c>
      <c r="H31" s="33">
        <v>333</v>
      </c>
      <c r="I31" s="33">
        <v>374</v>
      </c>
      <c r="J31" s="4"/>
    </row>
    <row r="32" spans="1:10" x14ac:dyDescent="0.3">
      <c r="A32" s="22" t="s">
        <v>108</v>
      </c>
      <c r="B32" s="4" t="s">
        <v>203</v>
      </c>
      <c r="C32" s="23" t="s">
        <v>153</v>
      </c>
      <c r="D32" s="23" t="s">
        <v>207</v>
      </c>
      <c r="E32" s="23" t="s">
        <v>72</v>
      </c>
      <c r="F32" s="23" t="s">
        <v>72</v>
      </c>
      <c r="G32" s="33">
        <v>23</v>
      </c>
      <c r="H32" s="33">
        <v>113</v>
      </c>
      <c r="I32" s="33">
        <v>136</v>
      </c>
      <c r="J32" s="4"/>
    </row>
    <row r="33" spans="1:10" x14ac:dyDescent="0.3">
      <c r="A33" s="22" t="s">
        <v>94</v>
      </c>
      <c r="B33" s="4" t="s">
        <v>189</v>
      </c>
      <c r="C33" s="23" t="s">
        <v>214</v>
      </c>
      <c r="D33" s="23" t="s">
        <v>215</v>
      </c>
      <c r="E33" s="23" t="s">
        <v>72</v>
      </c>
      <c r="F33" s="23" t="s">
        <v>72</v>
      </c>
      <c r="G33" s="33">
        <v>7</v>
      </c>
      <c r="H33" s="33">
        <v>124</v>
      </c>
      <c r="I33" s="33">
        <v>131</v>
      </c>
      <c r="J33" s="4"/>
    </row>
    <row r="34" spans="1:10" x14ac:dyDescent="0.3">
      <c r="A34" s="22" t="s">
        <v>94</v>
      </c>
      <c r="B34" s="4" t="s">
        <v>190</v>
      </c>
      <c r="C34" s="23" t="s">
        <v>143</v>
      </c>
      <c r="D34" s="23" t="s">
        <v>216</v>
      </c>
      <c r="E34" s="23" t="s">
        <v>72</v>
      </c>
      <c r="F34" s="23" t="s">
        <v>72</v>
      </c>
      <c r="G34" s="33">
        <v>18</v>
      </c>
      <c r="H34" s="33">
        <v>132</v>
      </c>
      <c r="I34" s="33">
        <v>150</v>
      </c>
      <c r="J34" s="4"/>
    </row>
    <row r="35" spans="1:10" x14ac:dyDescent="0.3">
      <c r="A35" s="22" t="s">
        <v>94</v>
      </c>
      <c r="B35" s="4" t="s">
        <v>191</v>
      </c>
      <c r="C35" s="23" t="s">
        <v>217</v>
      </c>
      <c r="D35" s="23" t="s">
        <v>218</v>
      </c>
      <c r="E35" s="23" t="s">
        <v>72</v>
      </c>
      <c r="F35" s="23" t="s">
        <v>72</v>
      </c>
      <c r="G35" s="33">
        <v>49</v>
      </c>
      <c r="H35" s="33">
        <v>142</v>
      </c>
      <c r="I35" s="33">
        <v>191</v>
      </c>
      <c r="J35" s="4"/>
    </row>
    <row r="36" spans="1:10" x14ac:dyDescent="0.3">
      <c r="A36" s="22" t="s">
        <v>94</v>
      </c>
      <c r="B36" s="4" t="s">
        <v>192</v>
      </c>
      <c r="C36" s="23" t="s">
        <v>68</v>
      </c>
      <c r="D36" s="23" t="s">
        <v>219</v>
      </c>
      <c r="E36" s="23" t="s">
        <v>72</v>
      </c>
      <c r="F36" s="23" t="s">
        <v>72</v>
      </c>
      <c r="G36" s="33">
        <v>33</v>
      </c>
      <c r="H36" s="33">
        <v>145</v>
      </c>
      <c r="I36" s="33">
        <v>178</v>
      </c>
      <c r="J36" s="4"/>
    </row>
    <row r="37" spans="1:10" x14ac:dyDescent="0.3">
      <c r="A37" s="22" t="s">
        <v>94</v>
      </c>
      <c r="B37" s="4" t="s">
        <v>193</v>
      </c>
      <c r="C37" s="23" t="s">
        <v>129</v>
      </c>
      <c r="D37" s="23" t="s">
        <v>72</v>
      </c>
      <c r="E37" s="23" t="s">
        <v>72</v>
      </c>
      <c r="F37" s="23" t="s">
        <v>72</v>
      </c>
      <c r="G37" s="33">
        <v>29</v>
      </c>
      <c r="H37" s="33">
        <v>0</v>
      </c>
      <c r="I37" s="33">
        <v>29</v>
      </c>
      <c r="J37" s="4"/>
    </row>
    <row r="38" spans="1:10" x14ac:dyDescent="0.3">
      <c r="A38" s="22" t="s">
        <v>94</v>
      </c>
      <c r="B38" s="4" t="s">
        <v>194</v>
      </c>
      <c r="C38" s="23" t="s">
        <v>68</v>
      </c>
      <c r="D38" s="23" t="s">
        <v>164</v>
      </c>
      <c r="E38" s="23" t="s">
        <v>72</v>
      </c>
      <c r="F38" s="23" t="s">
        <v>72</v>
      </c>
      <c r="G38" s="33">
        <v>33</v>
      </c>
      <c r="H38" s="33">
        <v>125</v>
      </c>
      <c r="I38" s="33">
        <v>158</v>
      </c>
      <c r="J38" s="4"/>
    </row>
    <row r="39" spans="1:10" x14ac:dyDescent="0.3">
      <c r="A39" s="22" t="s">
        <v>94</v>
      </c>
      <c r="B39" s="4" t="s">
        <v>195</v>
      </c>
      <c r="C39" s="23" t="s">
        <v>72</v>
      </c>
      <c r="D39" s="23" t="s">
        <v>72</v>
      </c>
      <c r="E39" s="23" t="s">
        <v>72</v>
      </c>
      <c r="F39" s="23" t="s">
        <v>72</v>
      </c>
      <c r="G39" s="33">
        <v>0</v>
      </c>
      <c r="H39" s="33">
        <v>0</v>
      </c>
      <c r="I39" s="33">
        <v>0</v>
      </c>
      <c r="J39" s="4"/>
    </row>
    <row r="40" spans="1:10" x14ac:dyDescent="0.3">
      <c r="A40" s="22" t="s">
        <v>94</v>
      </c>
      <c r="B40" s="4" t="s">
        <v>196</v>
      </c>
      <c r="C40" s="23" t="s">
        <v>220</v>
      </c>
      <c r="D40" s="23" t="s">
        <v>221</v>
      </c>
      <c r="E40" s="23" t="s">
        <v>72</v>
      </c>
      <c r="F40" s="23" t="s">
        <v>72</v>
      </c>
      <c r="G40" s="33">
        <v>19</v>
      </c>
      <c r="H40" s="33">
        <v>139</v>
      </c>
      <c r="I40" s="33">
        <v>158</v>
      </c>
      <c r="J40" s="4"/>
    </row>
    <row r="41" spans="1:10" x14ac:dyDescent="0.3">
      <c r="A41" s="22" t="s">
        <v>94</v>
      </c>
      <c r="B41" s="4" t="s">
        <v>197</v>
      </c>
      <c r="C41" s="23" t="s">
        <v>72</v>
      </c>
      <c r="D41" s="23" t="s">
        <v>72</v>
      </c>
      <c r="E41" s="23" t="s">
        <v>72</v>
      </c>
      <c r="F41" s="23" t="s">
        <v>72</v>
      </c>
      <c r="G41" s="33">
        <v>0</v>
      </c>
      <c r="H41" s="33">
        <v>0</v>
      </c>
      <c r="I41" s="33">
        <v>0</v>
      </c>
      <c r="J41" s="4"/>
    </row>
    <row r="42" spans="1:10" x14ac:dyDescent="0.3">
      <c r="A42" s="22" t="s">
        <v>94</v>
      </c>
      <c r="B42" s="4" t="s">
        <v>198</v>
      </c>
      <c r="C42" s="23" t="s">
        <v>72</v>
      </c>
      <c r="D42" s="23" t="s">
        <v>72</v>
      </c>
      <c r="E42" s="23" t="s">
        <v>72</v>
      </c>
      <c r="F42" s="23" t="s">
        <v>72</v>
      </c>
      <c r="G42" s="33">
        <v>0</v>
      </c>
      <c r="H42" s="33">
        <v>0</v>
      </c>
      <c r="I42" s="33">
        <v>0</v>
      </c>
      <c r="J42" s="4"/>
    </row>
    <row r="43" spans="1:10" x14ac:dyDescent="0.3">
      <c r="A43" s="22" t="s">
        <v>94</v>
      </c>
      <c r="B43" s="4" t="s">
        <v>199</v>
      </c>
      <c r="C43" s="23" t="s">
        <v>72</v>
      </c>
      <c r="D43" s="23" t="s">
        <v>72</v>
      </c>
      <c r="E43" s="23" t="s">
        <v>72</v>
      </c>
      <c r="F43" s="23" t="s">
        <v>72</v>
      </c>
      <c r="G43" s="33">
        <v>0</v>
      </c>
      <c r="H43" s="33">
        <v>0</v>
      </c>
      <c r="I43" s="33">
        <v>0</v>
      </c>
      <c r="J43" s="4"/>
    </row>
    <row r="44" spans="1:10" x14ac:dyDescent="0.3">
      <c r="A44" s="22" t="s">
        <v>94</v>
      </c>
      <c r="B44" s="4" t="s">
        <v>200</v>
      </c>
      <c r="C44" s="23" t="s">
        <v>64</v>
      </c>
      <c r="D44" s="23" t="s">
        <v>164</v>
      </c>
      <c r="E44" s="23" t="s">
        <v>72</v>
      </c>
      <c r="F44" s="23" t="s">
        <v>72</v>
      </c>
      <c r="G44" s="33">
        <v>31</v>
      </c>
      <c r="H44" s="33">
        <v>125</v>
      </c>
      <c r="I44" s="33">
        <v>156</v>
      </c>
      <c r="J44" s="4"/>
    </row>
    <row r="45" spans="1:10" x14ac:dyDescent="0.3">
      <c r="A45" s="22" t="s">
        <v>94</v>
      </c>
      <c r="B45" s="4" t="s">
        <v>201</v>
      </c>
      <c r="C45" s="23" t="s">
        <v>143</v>
      </c>
      <c r="D45" s="23" t="s">
        <v>72</v>
      </c>
      <c r="E45" s="23" t="s">
        <v>72</v>
      </c>
      <c r="F45" s="23" t="s">
        <v>72</v>
      </c>
      <c r="G45" s="33">
        <v>18</v>
      </c>
      <c r="H45" s="33">
        <v>0</v>
      </c>
      <c r="I45" s="33">
        <v>18</v>
      </c>
      <c r="J45" s="4"/>
    </row>
    <row r="46" spans="1:10" x14ac:dyDescent="0.3">
      <c r="A46" s="22" t="s">
        <v>94</v>
      </c>
      <c r="B46" s="4" t="s">
        <v>202</v>
      </c>
      <c r="C46" s="23" t="s">
        <v>72</v>
      </c>
      <c r="D46" s="23" t="s">
        <v>72</v>
      </c>
      <c r="E46" s="23" t="s">
        <v>72</v>
      </c>
      <c r="F46" s="23" t="s">
        <v>72</v>
      </c>
      <c r="G46" s="33">
        <v>0</v>
      </c>
      <c r="H46" s="33">
        <v>0</v>
      </c>
      <c r="I46" s="33">
        <v>0</v>
      </c>
      <c r="J46" s="4"/>
    </row>
    <row r="47" spans="1:10" x14ac:dyDescent="0.3">
      <c r="A47" s="22" t="s">
        <v>94</v>
      </c>
      <c r="B47" s="4" t="s">
        <v>203</v>
      </c>
      <c r="C47" s="23" t="s">
        <v>72</v>
      </c>
      <c r="D47" s="23" t="s">
        <v>72</v>
      </c>
      <c r="E47" s="23" t="s">
        <v>72</v>
      </c>
      <c r="F47" s="23" t="s">
        <v>72</v>
      </c>
      <c r="G47" s="33">
        <v>0</v>
      </c>
      <c r="H47" s="33">
        <v>0</v>
      </c>
      <c r="I47" s="33">
        <v>0</v>
      </c>
      <c r="J47" s="4"/>
    </row>
    <row r="48" spans="1:10" x14ac:dyDescent="0.3">
      <c r="A48" s="22" t="s">
        <v>222</v>
      </c>
      <c r="B48" s="4" t="s">
        <v>189</v>
      </c>
      <c r="C48" s="23" t="s">
        <v>72</v>
      </c>
      <c r="D48" s="23" t="s">
        <v>72</v>
      </c>
      <c r="E48" s="23" t="s">
        <v>72</v>
      </c>
      <c r="F48" s="23" t="s">
        <v>72</v>
      </c>
      <c r="G48" s="33">
        <v>0</v>
      </c>
      <c r="H48" s="33">
        <v>0</v>
      </c>
      <c r="I48" s="33">
        <v>0</v>
      </c>
      <c r="J48" s="4"/>
    </row>
    <row r="49" spans="1:10" x14ac:dyDescent="0.3">
      <c r="A49" s="22" t="s">
        <v>222</v>
      </c>
      <c r="B49" s="4" t="s">
        <v>190</v>
      </c>
      <c r="C49" s="23" t="s">
        <v>72</v>
      </c>
      <c r="D49" s="23" t="s">
        <v>72</v>
      </c>
      <c r="E49" s="23" t="s">
        <v>72</v>
      </c>
      <c r="F49" s="23" t="s">
        <v>72</v>
      </c>
      <c r="G49" s="33">
        <v>0</v>
      </c>
      <c r="H49" s="33">
        <v>0</v>
      </c>
      <c r="I49" s="33">
        <v>0</v>
      </c>
      <c r="J49" s="4"/>
    </row>
    <row r="50" spans="1:10" x14ac:dyDescent="0.3">
      <c r="A50" s="22" t="s">
        <v>222</v>
      </c>
      <c r="B50" s="4" t="s">
        <v>191</v>
      </c>
      <c r="C50" s="23" t="s">
        <v>72</v>
      </c>
      <c r="D50" s="23" t="s">
        <v>72</v>
      </c>
      <c r="E50" s="23" t="s">
        <v>72</v>
      </c>
      <c r="F50" s="23" t="s">
        <v>72</v>
      </c>
      <c r="G50" s="33">
        <v>0</v>
      </c>
      <c r="H50" s="33">
        <v>0</v>
      </c>
      <c r="I50" s="33">
        <v>0</v>
      </c>
      <c r="J50" s="4"/>
    </row>
    <row r="51" spans="1:10" x14ac:dyDescent="0.3">
      <c r="A51" s="22" t="s">
        <v>222</v>
      </c>
      <c r="B51" s="4" t="s">
        <v>192</v>
      </c>
      <c r="C51" s="23" t="s">
        <v>162</v>
      </c>
      <c r="D51" s="23" t="s">
        <v>223</v>
      </c>
      <c r="E51" s="23" t="s">
        <v>72</v>
      </c>
      <c r="F51" s="23" t="s">
        <v>72</v>
      </c>
      <c r="G51" s="33">
        <v>25</v>
      </c>
      <c r="H51" s="33">
        <v>107</v>
      </c>
      <c r="I51" s="33">
        <v>132</v>
      </c>
      <c r="J51" s="4"/>
    </row>
    <row r="52" spans="1:10" x14ac:dyDescent="0.3">
      <c r="A52" s="22" t="s">
        <v>222</v>
      </c>
      <c r="B52" s="4" t="s">
        <v>193</v>
      </c>
      <c r="C52" s="23" t="s">
        <v>208</v>
      </c>
      <c r="D52" s="23" t="s">
        <v>98</v>
      </c>
      <c r="E52" s="23" t="s">
        <v>72</v>
      </c>
      <c r="F52" s="23" t="s">
        <v>72</v>
      </c>
      <c r="G52" s="33">
        <v>26</v>
      </c>
      <c r="H52" s="33">
        <v>115</v>
      </c>
      <c r="I52" s="33">
        <v>141</v>
      </c>
      <c r="J52" s="4"/>
    </row>
    <row r="53" spans="1:10" x14ac:dyDescent="0.3">
      <c r="A53" s="22" t="s">
        <v>222</v>
      </c>
      <c r="B53" s="4" t="s">
        <v>194</v>
      </c>
      <c r="C53" s="23" t="s">
        <v>72</v>
      </c>
      <c r="D53" s="23" t="s">
        <v>72</v>
      </c>
      <c r="E53" s="23" t="s">
        <v>72</v>
      </c>
      <c r="F53" s="23" t="s">
        <v>72</v>
      </c>
      <c r="G53" s="33">
        <v>0</v>
      </c>
      <c r="H53" s="33">
        <v>0</v>
      </c>
      <c r="I53" s="33">
        <v>0</v>
      </c>
      <c r="J53" s="4"/>
    </row>
    <row r="54" spans="1:10" x14ac:dyDescent="0.3">
      <c r="A54" s="22" t="s">
        <v>222</v>
      </c>
      <c r="B54" s="4" t="s">
        <v>195</v>
      </c>
      <c r="C54" s="23" t="s">
        <v>72</v>
      </c>
      <c r="D54" s="23" t="s">
        <v>218</v>
      </c>
      <c r="E54" s="23" t="s">
        <v>72</v>
      </c>
      <c r="F54" s="23" t="s">
        <v>72</v>
      </c>
      <c r="G54" s="33">
        <v>0</v>
      </c>
      <c r="H54" s="33">
        <v>142</v>
      </c>
      <c r="I54" s="33">
        <v>142</v>
      </c>
      <c r="J54" s="4"/>
    </row>
    <row r="55" spans="1:10" x14ac:dyDescent="0.3">
      <c r="A55" s="22" t="s">
        <v>222</v>
      </c>
      <c r="B55" s="4" t="s">
        <v>196</v>
      </c>
      <c r="C55" s="23" t="s">
        <v>72</v>
      </c>
      <c r="D55" s="23" t="s">
        <v>211</v>
      </c>
      <c r="E55" s="23" t="s">
        <v>72</v>
      </c>
      <c r="F55" s="23" t="s">
        <v>72</v>
      </c>
      <c r="G55" s="33">
        <v>0</v>
      </c>
      <c r="H55" s="33">
        <v>131</v>
      </c>
      <c r="I55" s="33">
        <v>131</v>
      </c>
      <c r="J55" s="4"/>
    </row>
    <row r="56" spans="1:10" x14ac:dyDescent="0.3">
      <c r="A56" s="22" t="s">
        <v>222</v>
      </c>
      <c r="B56" s="4" t="s">
        <v>197</v>
      </c>
      <c r="C56" s="23" t="s">
        <v>72</v>
      </c>
      <c r="D56" s="23" t="s">
        <v>72</v>
      </c>
      <c r="E56" s="23" t="s">
        <v>72</v>
      </c>
      <c r="F56" s="23" t="s">
        <v>72</v>
      </c>
      <c r="G56" s="33">
        <v>0</v>
      </c>
      <c r="H56" s="33">
        <v>0</v>
      </c>
      <c r="I56" s="33">
        <v>0</v>
      </c>
      <c r="J56" s="4"/>
    </row>
    <row r="57" spans="1:10" x14ac:dyDescent="0.3">
      <c r="A57" s="22" t="s">
        <v>222</v>
      </c>
      <c r="B57" s="4" t="s">
        <v>198</v>
      </c>
      <c r="C57" s="23" t="s">
        <v>72</v>
      </c>
      <c r="D57" s="23" t="s">
        <v>72</v>
      </c>
      <c r="E57" s="23" t="s">
        <v>72</v>
      </c>
      <c r="F57" s="23" t="s">
        <v>72</v>
      </c>
      <c r="G57" s="33">
        <v>0</v>
      </c>
      <c r="H57" s="33">
        <v>0</v>
      </c>
      <c r="I57" s="33">
        <v>0</v>
      </c>
      <c r="J57" s="4"/>
    </row>
    <row r="58" spans="1:10" x14ac:dyDescent="0.3">
      <c r="A58" s="22" t="s">
        <v>222</v>
      </c>
      <c r="B58" s="4" t="s">
        <v>199</v>
      </c>
      <c r="C58" s="23" t="s">
        <v>72</v>
      </c>
      <c r="D58" s="23" t="s">
        <v>72</v>
      </c>
      <c r="E58" s="23" t="s">
        <v>72</v>
      </c>
      <c r="F58" s="23" t="s">
        <v>72</v>
      </c>
      <c r="G58" s="33">
        <v>0</v>
      </c>
      <c r="H58" s="33">
        <v>0</v>
      </c>
      <c r="I58" s="33">
        <v>0</v>
      </c>
      <c r="J58" s="4"/>
    </row>
    <row r="59" spans="1:10" x14ac:dyDescent="0.3">
      <c r="A59" s="22" t="s">
        <v>222</v>
      </c>
      <c r="B59" s="4" t="s">
        <v>200</v>
      </c>
      <c r="C59" s="23" t="s">
        <v>72</v>
      </c>
      <c r="D59" s="23" t="s">
        <v>223</v>
      </c>
      <c r="E59" s="23" t="s">
        <v>72</v>
      </c>
      <c r="F59" s="23" t="s">
        <v>72</v>
      </c>
      <c r="G59" s="33">
        <v>0</v>
      </c>
      <c r="H59" s="33">
        <v>107</v>
      </c>
      <c r="I59" s="33">
        <v>107</v>
      </c>
      <c r="J59" s="4"/>
    </row>
    <row r="60" spans="1:10" x14ac:dyDescent="0.3">
      <c r="A60" s="22" t="s">
        <v>222</v>
      </c>
      <c r="B60" s="4" t="s">
        <v>201</v>
      </c>
      <c r="C60" s="23" t="s">
        <v>72</v>
      </c>
      <c r="D60" s="23" t="s">
        <v>224</v>
      </c>
      <c r="E60" s="23" t="s">
        <v>72</v>
      </c>
      <c r="F60" s="23" t="s">
        <v>72</v>
      </c>
      <c r="G60" s="33">
        <v>0</v>
      </c>
      <c r="H60" s="33">
        <v>85</v>
      </c>
      <c r="I60" s="33">
        <v>85</v>
      </c>
      <c r="J60" s="4"/>
    </row>
    <row r="61" spans="1:10" x14ac:dyDescent="0.3">
      <c r="A61" s="22" t="s">
        <v>222</v>
      </c>
      <c r="B61" s="4" t="s">
        <v>202</v>
      </c>
      <c r="C61" s="23" t="s">
        <v>72</v>
      </c>
      <c r="D61" s="23" t="s">
        <v>72</v>
      </c>
      <c r="E61" s="23" t="s">
        <v>72</v>
      </c>
      <c r="F61" s="23" t="s">
        <v>72</v>
      </c>
      <c r="G61" s="33">
        <v>0</v>
      </c>
      <c r="H61" s="33">
        <v>0</v>
      </c>
      <c r="I61" s="33">
        <v>0</v>
      </c>
      <c r="J61" s="4"/>
    </row>
    <row r="62" spans="1:10" x14ac:dyDescent="0.3">
      <c r="A62" s="22" t="s">
        <v>222</v>
      </c>
      <c r="B62" s="4" t="s">
        <v>203</v>
      </c>
      <c r="C62" s="23" t="s">
        <v>72</v>
      </c>
      <c r="D62" s="23" t="s">
        <v>72</v>
      </c>
      <c r="E62" s="23" t="s">
        <v>72</v>
      </c>
      <c r="F62" s="23" t="s">
        <v>72</v>
      </c>
      <c r="G62" s="33">
        <v>0</v>
      </c>
      <c r="H62" s="33">
        <v>0</v>
      </c>
      <c r="I62" s="33">
        <v>0</v>
      </c>
      <c r="J62" s="4"/>
    </row>
    <row r="63" spans="1:10" x14ac:dyDescent="0.3">
      <c r="A63" s="22" t="s">
        <v>118</v>
      </c>
      <c r="B63" s="4" t="s">
        <v>189</v>
      </c>
      <c r="C63" s="23" t="s">
        <v>72</v>
      </c>
      <c r="D63" s="23" t="s">
        <v>72</v>
      </c>
      <c r="E63" s="23" t="s">
        <v>72</v>
      </c>
      <c r="F63" s="23" t="s">
        <v>72</v>
      </c>
      <c r="G63" s="33">
        <v>0</v>
      </c>
      <c r="H63" s="33">
        <v>0</v>
      </c>
      <c r="I63" s="33">
        <v>0</v>
      </c>
      <c r="J63" s="4"/>
    </row>
    <row r="64" spans="1:10" x14ac:dyDescent="0.3">
      <c r="A64" s="22" t="s">
        <v>118</v>
      </c>
      <c r="B64" s="4" t="s">
        <v>190</v>
      </c>
      <c r="C64" s="23" t="s">
        <v>72</v>
      </c>
      <c r="D64" s="23" t="s">
        <v>72</v>
      </c>
      <c r="E64" s="23" t="s">
        <v>72</v>
      </c>
      <c r="F64" s="23" t="s">
        <v>72</v>
      </c>
      <c r="G64" s="33">
        <v>0</v>
      </c>
      <c r="H64" s="33">
        <v>0</v>
      </c>
      <c r="I64" s="33">
        <v>0</v>
      </c>
      <c r="J64" s="4"/>
    </row>
    <row r="65" spans="1:10" x14ac:dyDescent="0.3">
      <c r="A65" s="22" t="s">
        <v>118</v>
      </c>
      <c r="B65" s="4" t="s">
        <v>191</v>
      </c>
      <c r="C65" s="23" t="s">
        <v>72</v>
      </c>
      <c r="D65" s="23" t="s">
        <v>72</v>
      </c>
      <c r="E65" s="23" t="s">
        <v>72</v>
      </c>
      <c r="F65" s="23" t="s">
        <v>72</v>
      </c>
      <c r="G65" s="33">
        <v>0</v>
      </c>
      <c r="H65" s="33">
        <v>0</v>
      </c>
      <c r="I65" s="33">
        <v>0</v>
      </c>
      <c r="J65" s="4"/>
    </row>
    <row r="66" spans="1:10" x14ac:dyDescent="0.3">
      <c r="A66" s="22" t="s">
        <v>118</v>
      </c>
      <c r="B66" s="4" t="s">
        <v>192</v>
      </c>
      <c r="C66" s="23" t="s">
        <v>72</v>
      </c>
      <c r="D66" s="23" t="s">
        <v>72</v>
      </c>
      <c r="E66" s="23" t="s">
        <v>72</v>
      </c>
      <c r="F66" s="23" t="s">
        <v>72</v>
      </c>
      <c r="G66" s="33">
        <v>0</v>
      </c>
      <c r="H66" s="33">
        <v>0</v>
      </c>
      <c r="I66" s="33">
        <v>0</v>
      </c>
      <c r="J66" s="4"/>
    </row>
    <row r="67" spans="1:10" x14ac:dyDescent="0.3">
      <c r="A67" s="22" t="s">
        <v>118</v>
      </c>
      <c r="B67" s="4" t="s">
        <v>193</v>
      </c>
      <c r="C67" s="23" t="s">
        <v>72</v>
      </c>
      <c r="D67" s="23" t="s">
        <v>72</v>
      </c>
      <c r="E67" s="23" t="s">
        <v>72</v>
      </c>
      <c r="F67" s="23" t="s">
        <v>72</v>
      </c>
      <c r="G67" s="33">
        <v>0</v>
      </c>
      <c r="H67" s="33">
        <v>0</v>
      </c>
      <c r="I67" s="33">
        <v>0</v>
      </c>
      <c r="J67" s="4"/>
    </row>
    <row r="68" spans="1:10" x14ac:dyDescent="0.3">
      <c r="A68" s="22" t="s">
        <v>118</v>
      </c>
      <c r="B68" s="4" t="s">
        <v>194</v>
      </c>
      <c r="C68" s="23" t="s">
        <v>72</v>
      </c>
      <c r="D68" s="23" t="s">
        <v>72</v>
      </c>
      <c r="E68" s="23" t="s">
        <v>72</v>
      </c>
      <c r="F68" s="23" t="s">
        <v>72</v>
      </c>
      <c r="G68" s="33">
        <v>0</v>
      </c>
      <c r="H68" s="33">
        <v>0</v>
      </c>
      <c r="I68" s="33">
        <v>0</v>
      </c>
      <c r="J68" s="4"/>
    </row>
    <row r="69" spans="1:10" x14ac:dyDescent="0.3">
      <c r="A69" s="22" t="s">
        <v>118</v>
      </c>
      <c r="B69" s="4" t="s">
        <v>195</v>
      </c>
      <c r="C69" s="23" t="s">
        <v>72</v>
      </c>
      <c r="D69" s="23" t="s">
        <v>72</v>
      </c>
      <c r="E69" s="23" t="s">
        <v>72</v>
      </c>
      <c r="F69" s="23" t="s">
        <v>72</v>
      </c>
      <c r="G69" s="33">
        <v>0</v>
      </c>
      <c r="H69" s="33">
        <v>0</v>
      </c>
      <c r="I69" s="33">
        <v>0</v>
      </c>
      <c r="J69" s="4"/>
    </row>
    <row r="70" spans="1:10" x14ac:dyDescent="0.3">
      <c r="A70" s="22" t="s">
        <v>118</v>
      </c>
      <c r="B70" s="4" t="s">
        <v>196</v>
      </c>
      <c r="C70" s="23" t="s">
        <v>72</v>
      </c>
      <c r="D70" s="23" t="s">
        <v>72</v>
      </c>
      <c r="E70" s="23" t="s">
        <v>72</v>
      </c>
      <c r="F70" s="23" t="s">
        <v>72</v>
      </c>
      <c r="G70" s="33">
        <v>0</v>
      </c>
      <c r="H70" s="33">
        <v>0</v>
      </c>
      <c r="I70" s="33">
        <v>0</v>
      </c>
      <c r="J70" s="4"/>
    </row>
    <row r="71" spans="1:10" x14ac:dyDescent="0.3">
      <c r="A71" s="22" t="s">
        <v>118</v>
      </c>
      <c r="B71" s="4" t="s">
        <v>197</v>
      </c>
      <c r="C71" s="23" t="s">
        <v>72</v>
      </c>
      <c r="D71" s="23" t="s">
        <v>72</v>
      </c>
      <c r="E71" s="23" t="s">
        <v>72</v>
      </c>
      <c r="F71" s="23" t="s">
        <v>72</v>
      </c>
      <c r="G71" s="33">
        <v>0</v>
      </c>
      <c r="H71" s="33">
        <v>0</v>
      </c>
      <c r="I71" s="33">
        <v>0</v>
      </c>
      <c r="J71" s="4"/>
    </row>
    <row r="72" spans="1:10" x14ac:dyDescent="0.3">
      <c r="A72" s="22" t="s">
        <v>118</v>
      </c>
      <c r="B72" s="4" t="s">
        <v>198</v>
      </c>
      <c r="C72" s="23" t="s">
        <v>72</v>
      </c>
      <c r="D72" s="23" t="s">
        <v>72</v>
      </c>
      <c r="E72" s="23" t="s">
        <v>72</v>
      </c>
      <c r="F72" s="23" t="s">
        <v>72</v>
      </c>
      <c r="G72" s="33">
        <v>0</v>
      </c>
      <c r="H72" s="33">
        <v>0</v>
      </c>
      <c r="I72" s="33">
        <v>0</v>
      </c>
      <c r="J72" s="4"/>
    </row>
    <row r="73" spans="1:10" x14ac:dyDescent="0.3">
      <c r="A73" s="22" t="s">
        <v>118</v>
      </c>
      <c r="B73" s="4" t="s">
        <v>199</v>
      </c>
      <c r="C73" s="23" t="s">
        <v>72</v>
      </c>
      <c r="D73" s="23" t="s">
        <v>72</v>
      </c>
      <c r="E73" s="23" t="s">
        <v>72</v>
      </c>
      <c r="F73" s="23" t="s">
        <v>72</v>
      </c>
      <c r="G73" s="33">
        <v>0</v>
      </c>
      <c r="H73" s="33">
        <v>0</v>
      </c>
      <c r="I73" s="33">
        <v>0</v>
      </c>
      <c r="J73" s="4"/>
    </row>
    <row r="74" spans="1:10" x14ac:dyDescent="0.3">
      <c r="A74" s="22" t="s">
        <v>118</v>
      </c>
      <c r="B74" s="4" t="s">
        <v>200</v>
      </c>
      <c r="C74" s="23" t="s">
        <v>72</v>
      </c>
      <c r="D74" s="23" t="s">
        <v>72</v>
      </c>
      <c r="E74" s="23" t="s">
        <v>72</v>
      </c>
      <c r="F74" s="23" t="s">
        <v>72</v>
      </c>
      <c r="G74" s="33">
        <v>0</v>
      </c>
      <c r="H74" s="33">
        <v>0</v>
      </c>
      <c r="I74" s="33">
        <v>0</v>
      </c>
      <c r="J74" s="4"/>
    </row>
    <row r="75" spans="1:10" x14ac:dyDescent="0.3">
      <c r="A75" s="22" t="s">
        <v>118</v>
      </c>
      <c r="B75" s="4" t="s">
        <v>201</v>
      </c>
      <c r="C75" s="23" t="s">
        <v>72</v>
      </c>
      <c r="D75" s="23" t="s">
        <v>72</v>
      </c>
      <c r="E75" s="23" t="s">
        <v>72</v>
      </c>
      <c r="F75" s="23" t="s">
        <v>72</v>
      </c>
      <c r="G75" s="33">
        <v>0</v>
      </c>
      <c r="H75" s="33">
        <v>0</v>
      </c>
      <c r="I75" s="33">
        <v>0</v>
      </c>
      <c r="J75" s="4"/>
    </row>
    <row r="76" spans="1:10" x14ac:dyDescent="0.3">
      <c r="A76" s="22" t="s">
        <v>118</v>
      </c>
      <c r="B76" s="4" t="s">
        <v>202</v>
      </c>
      <c r="C76" s="23" t="s">
        <v>72</v>
      </c>
      <c r="D76" s="23" t="s">
        <v>72</v>
      </c>
      <c r="E76" s="23" t="s">
        <v>72</v>
      </c>
      <c r="F76" s="23" t="s">
        <v>72</v>
      </c>
      <c r="G76" s="33">
        <v>0</v>
      </c>
      <c r="H76" s="33">
        <v>0</v>
      </c>
      <c r="I76" s="33">
        <v>0</v>
      </c>
      <c r="J76" s="4"/>
    </row>
    <row r="77" spans="1:10" x14ac:dyDescent="0.3">
      <c r="A77" s="22" t="s">
        <v>118</v>
      </c>
      <c r="B77" s="4" t="s">
        <v>203</v>
      </c>
      <c r="C77" s="23" t="s">
        <v>72</v>
      </c>
      <c r="D77" s="23" t="s">
        <v>72</v>
      </c>
      <c r="E77" s="23" t="s">
        <v>72</v>
      </c>
      <c r="F77" s="23" t="s">
        <v>72</v>
      </c>
      <c r="G77" s="33">
        <v>0</v>
      </c>
      <c r="H77" s="33">
        <v>0</v>
      </c>
      <c r="I77" s="33">
        <v>0</v>
      </c>
      <c r="J77" s="4"/>
    </row>
    <row r="78" spans="1:10" x14ac:dyDescent="0.3">
      <c r="A78" s="22" t="s">
        <v>163</v>
      </c>
      <c r="B78" s="4" t="s">
        <v>189</v>
      </c>
      <c r="C78" s="23" t="s">
        <v>72</v>
      </c>
      <c r="D78" s="23" t="s">
        <v>72</v>
      </c>
      <c r="E78" s="23" t="s">
        <v>72</v>
      </c>
      <c r="F78" s="23" t="s">
        <v>72</v>
      </c>
      <c r="G78" s="33">
        <v>0</v>
      </c>
      <c r="H78" s="33">
        <v>0</v>
      </c>
      <c r="I78" s="33">
        <v>0</v>
      </c>
      <c r="J78" s="4"/>
    </row>
    <row r="79" spans="1:10" x14ac:dyDescent="0.3">
      <c r="A79" s="22" t="s">
        <v>163</v>
      </c>
      <c r="B79" s="4" t="s">
        <v>190</v>
      </c>
      <c r="C79" s="23" t="s">
        <v>69</v>
      </c>
      <c r="D79" s="23" t="s">
        <v>205</v>
      </c>
      <c r="E79" s="23" t="s">
        <v>72</v>
      </c>
      <c r="F79" s="23" t="s">
        <v>72</v>
      </c>
      <c r="G79" s="33">
        <v>34</v>
      </c>
      <c r="H79" s="33">
        <v>100</v>
      </c>
      <c r="I79" s="33">
        <v>134</v>
      </c>
      <c r="J79" s="4"/>
    </row>
    <row r="80" spans="1:10" x14ac:dyDescent="0.3">
      <c r="A80" s="22" t="s">
        <v>163</v>
      </c>
      <c r="B80" s="4" t="s">
        <v>191</v>
      </c>
      <c r="C80" s="23" t="s">
        <v>161</v>
      </c>
      <c r="D80" s="23" t="s">
        <v>207</v>
      </c>
      <c r="E80" s="23" t="s">
        <v>72</v>
      </c>
      <c r="F80" s="23" t="s">
        <v>72</v>
      </c>
      <c r="G80" s="33">
        <v>22</v>
      </c>
      <c r="H80" s="33">
        <v>113</v>
      </c>
      <c r="I80" s="33">
        <v>135</v>
      </c>
      <c r="J80" s="4"/>
    </row>
    <row r="81" spans="1:10" x14ac:dyDescent="0.3">
      <c r="A81" s="22" t="s">
        <v>163</v>
      </c>
      <c r="B81" s="4" t="s">
        <v>192</v>
      </c>
      <c r="C81" s="23" t="s">
        <v>69</v>
      </c>
      <c r="D81" s="23" t="s">
        <v>225</v>
      </c>
      <c r="E81" s="23" t="s">
        <v>72</v>
      </c>
      <c r="F81" s="23" t="s">
        <v>72</v>
      </c>
      <c r="G81" s="33">
        <v>34</v>
      </c>
      <c r="H81" s="33">
        <v>106</v>
      </c>
      <c r="I81" s="33">
        <v>140</v>
      </c>
      <c r="J81" s="4"/>
    </row>
    <row r="82" spans="1:10" x14ac:dyDescent="0.3">
      <c r="A82" s="22" t="s">
        <v>163</v>
      </c>
      <c r="B82" s="4" t="s">
        <v>193</v>
      </c>
      <c r="C82" s="23" t="s">
        <v>67</v>
      </c>
      <c r="D82" s="23" t="s">
        <v>160</v>
      </c>
      <c r="E82" s="23" t="s">
        <v>72</v>
      </c>
      <c r="F82" s="23" t="s">
        <v>72</v>
      </c>
      <c r="G82" s="33">
        <v>32</v>
      </c>
      <c r="H82" s="33">
        <v>114</v>
      </c>
      <c r="I82" s="33">
        <v>146</v>
      </c>
      <c r="J82" s="4"/>
    </row>
    <row r="83" spans="1:10" x14ac:dyDescent="0.3">
      <c r="A83" s="22" t="s">
        <v>163</v>
      </c>
      <c r="B83" s="4" t="s">
        <v>194</v>
      </c>
      <c r="C83" s="23" t="s">
        <v>72</v>
      </c>
      <c r="D83" s="23" t="s">
        <v>72</v>
      </c>
      <c r="E83" s="23" t="s">
        <v>72</v>
      </c>
      <c r="F83" s="23" t="s">
        <v>72</v>
      </c>
      <c r="G83" s="33">
        <v>0</v>
      </c>
      <c r="H83" s="33">
        <v>0</v>
      </c>
      <c r="I83" s="33">
        <v>0</v>
      </c>
      <c r="J83" s="4"/>
    </row>
    <row r="84" spans="1:10" x14ac:dyDescent="0.3">
      <c r="A84" s="22" t="s">
        <v>163</v>
      </c>
      <c r="B84" s="4" t="s">
        <v>195</v>
      </c>
      <c r="C84" s="23" t="s">
        <v>78</v>
      </c>
      <c r="D84" s="23" t="s">
        <v>72</v>
      </c>
      <c r="E84" s="23" t="s">
        <v>72</v>
      </c>
      <c r="F84" s="23" t="s">
        <v>72</v>
      </c>
      <c r="G84" s="33">
        <v>27</v>
      </c>
      <c r="H84" s="33">
        <v>0</v>
      </c>
      <c r="I84" s="33">
        <v>27</v>
      </c>
      <c r="J84" s="4"/>
    </row>
    <row r="85" spans="1:10" x14ac:dyDescent="0.3">
      <c r="A85" s="22" t="s">
        <v>163</v>
      </c>
      <c r="B85" s="4" t="s">
        <v>196</v>
      </c>
      <c r="C85" s="23" t="s">
        <v>72</v>
      </c>
      <c r="D85" s="23" t="s">
        <v>72</v>
      </c>
      <c r="E85" s="23" t="s">
        <v>72</v>
      </c>
      <c r="F85" s="23" t="s">
        <v>72</v>
      </c>
      <c r="G85" s="33">
        <v>0</v>
      </c>
      <c r="H85" s="33">
        <v>0</v>
      </c>
      <c r="I85" s="33">
        <v>0</v>
      </c>
      <c r="J85" s="4"/>
    </row>
    <row r="86" spans="1:10" x14ac:dyDescent="0.3">
      <c r="A86" s="22" t="s">
        <v>163</v>
      </c>
      <c r="B86" s="4" t="s">
        <v>197</v>
      </c>
      <c r="C86" s="23" t="s">
        <v>72</v>
      </c>
      <c r="D86" s="23" t="s">
        <v>72</v>
      </c>
      <c r="E86" s="23" t="s">
        <v>72</v>
      </c>
      <c r="F86" s="23" t="s">
        <v>72</v>
      </c>
      <c r="G86" s="33">
        <v>0</v>
      </c>
      <c r="H86" s="33">
        <v>0</v>
      </c>
      <c r="I86" s="33">
        <v>0</v>
      </c>
      <c r="J86" s="4"/>
    </row>
    <row r="87" spans="1:10" x14ac:dyDescent="0.3">
      <c r="A87" s="22" t="s">
        <v>163</v>
      </c>
      <c r="B87" s="4" t="s">
        <v>198</v>
      </c>
      <c r="C87" s="23" t="s">
        <v>72</v>
      </c>
      <c r="D87" s="23" t="s">
        <v>72</v>
      </c>
      <c r="E87" s="23" t="s">
        <v>72</v>
      </c>
      <c r="F87" s="23" t="s">
        <v>72</v>
      </c>
      <c r="G87" s="33">
        <v>0</v>
      </c>
      <c r="H87" s="33">
        <v>0</v>
      </c>
      <c r="I87" s="33">
        <v>0</v>
      </c>
      <c r="J87" s="4"/>
    </row>
    <row r="88" spans="1:10" x14ac:dyDescent="0.3">
      <c r="A88" s="22" t="s">
        <v>163</v>
      </c>
      <c r="B88" s="4" t="s">
        <v>199</v>
      </c>
      <c r="C88" s="23" t="s">
        <v>72</v>
      </c>
      <c r="D88" s="23" t="s">
        <v>72</v>
      </c>
      <c r="E88" s="23" t="s">
        <v>72</v>
      </c>
      <c r="F88" s="23" t="s">
        <v>72</v>
      </c>
      <c r="G88" s="33">
        <v>0</v>
      </c>
      <c r="H88" s="33">
        <v>0</v>
      </c>
      <c r="I88" s="33">
        <v>0</v>
      </c>
      <c r="J88" s="4"/>
    </row>
    <row r="89" spans="1:10" x14ac:dyDescent="0.3">
      <c r="A89" s="22" t="s">
        <v>163</v>
      </c>
      <c r="B89" s="4" t="s">
        <v>200</v>
      </c>
      <c r="C89" s="23" t="s">
        <v>67</v>
      </c>
      <c r="D89" s="23" t="s">
        <v>223</v>
      </c>
      <c r="E89" s="23" t="s">
        <v>72</v>
      </c>
      <c r="F89" s="23" t="s">
        <v>72</v>
      </c>
      <c r="G89" s="33">
        <v>32</v>
      </c>
      <c r="H89" s="33">
        <v>107</v>
      </c>
      <c r="I89" s="33">
        <v>139</v>
      </c>
      <c r="J89" s="4"/>
    </row>
    <row r="90" spans="1:10" x14ac:dyDescent="0.3">
      <c r="A90" s="22" t="s">
        <v>163</v>
      </c>
      <c r="B90" s="4" t="s">
        <v>201</v>
      </c>
      <c r="C90" s="23" t="s">
        <v>226</v>
      </c>
      <c r="D90" s="23" t="s">
        <v>224</v>
      </c>
      <c r="E90" s="23" t="s">
        <v>72</v>
      </c>
      <c r="F90" s="23" t="s">
        <v>72</v>
      </c>
      <c r="G90" s="33">
        <v>39</v>
      </c>
      <c r="H90" s="33">
        <v>85</v>
      </c>
      <c r="I90" s="33">
        <v>124</v>
      </c>
      <c r="J90" s="4"/>
    </row>
    <row r="91" spans="1:10" x14ac:dyDescent="0.3">
      <c r="A91" s="22" t="s">
        <v>163</v>
      </c>
      <c r="B91" s="4" t="s">
        <v>202</v>
      </c>
      <c r="C91" s="23" t="s">
        <v>212</v>
      </c>
      <c r="D91" s="23" t="s">
        <v>227</v>
      </c>
      <c r="E91" s="23" t="s">
        <v>72</v>
      </c>
      <c r="F91" s="23" t="s">
        <v>72</v>
      </c>
      <c r="G91" s="33">
        <v>41</v>
      </c>
      <c r="H91" s="33">
        <v>332</v>
      </c>
      <c r="I91" s="33">
        <v>373</v>
      </c>
      <c r="J91" s="4"/>
    </row>
    <row r="92" spans="1:10" x14ac:dyDescent="0.3">
      <c r="A92" s="22" t="s">
        <v>163</v>
      </c>
      <c r="B92" s="4" t="s">
        <v>203</v>
      </c>
      <c r="C92" s="23" t="s">
        <v>72</v>
      </c>
      <c r="D92" s="23" t="s">
        <v>228</v>
      </c>
      <c r="E92" s="23" t="s">
        <v>72</v>
      </c>
      <c r="F92" s="23" t="s">
        <v>72</v>
      </c>
      <c r="G92" s="33">
        <v>0</v>
      </c>
      <c r="H92" s="33">
        <v>108</v>
      </c>
      <c r="I92" s="33">
        <v>108</v>
      </c>
      <c r="J92" s="4"/>
    </row>
    <row r="93" spans="1:10" x14ac:dyDescent="0.3">
      <c r="A93" s="22" t="s">
        <v>81</v>
      </c>
      <c r="B93" s="4" t="s">
        <v>189</v>
      </c>
      <c r="C93" s="23" t="s">
        <v>78</v>
      </c>
      <c r="D93" s="23" t="s">
        <v>204</v>
      </c>
      <c r="E93" s="23" t="s">
        <v>72</v>
      </c>
      <c r="F93" s="23" t="s">
        <v>72</v>
      </c>
      <c r="G93" s="33">
        <v>27</v>
      </c>
      <c r="H93" s="33">
        <v>121</v>
      </c>
      <c r="I93" s="33">
        <v>148</v>
      </c>
      <c r="J93" s="4"/>
    </row>
    <row r="94" spans="1:10" x14ac:dyDescent="0.3">
      <c r="A94" s="22" t="s">
        <v>81</v>
      </c>
      <c r="B94" s="4" t="s">
        <v>190</v>
      </c>
      <c r="C94" s="23" t="s">
        <v>229</v>
      </c>
      <c r="D94" s="23" t="s">
        <v>230</v>
      </c>
      <c r="E94" s="23" t="s">
        <v>72</v>
      </c>
      <c r="F94" s="23" t="s">
        <v>72</v>
      </c>
      <c r="G94" s="33">
        <v>103</v>
      </c>
      <c r="H94" s="33">
        <v>406</v>
      </c>
      <c r="I94" s="33">
        <v>509</v>
      </c>
      <c r="J94" s="4"/>
    </row>
    <row r="95" spans="1:10" x14ac:dyDescent="0.3">
      <c r="A95" s="22" t="s">
        <v>81</v>
      </c>
      <c r="B95" s="4" t="s">
        <v>191</v>
      </c>
      <c r="C95" s="23" t="s">
        <v>161</v>
      </c>
      <c r="D95" s="23" t="s">
        <v>169</v>
      </c>
      <c r="E95" s="23" t="s">
        <v>72</v>
      </c>
      <c r="F95" s="23" t="s">
        <v>72</v>
      </c>
      <c r="G95" s="33">
        <v>22</v>
      </c>
      <c r="H95" s="33">
        <v>116</v>
      </c>
      <c r="I95" s="33">
        <v>138</v>
      </c>
      <c r="J95" s="4"/>
    </row>
    <row r="96" spans="1:10" x14ac:dyDescent="0.3">
      <c r="A96" s="22" t="s">
        <v>81</v>
      </c>
      <c r="B96" s="4" t="s">
        <v>192</v>
      </c>
      <c r="C96" s="23" t="s">
        <v>134</v>
      </c>
      <c r="D96" s="23" t="s">
        <v>207</v>
      </c>
      <c r="E96" s="23" t="s">
        <v>72</v>
      </c>
      <c r="F96" s="23" t="s">
        <v>72</v>
      </c>
      <c r="G96" s="33">
        <v>20</v>
      </c>
      <c r="H96" s="33">
        <v>113</v>
      </c>
      <c r="I96" s="33">
        <v>133</v>
      </c>
      <c r="J96" s="4"/>
    </row>
    <row r="97" spans="1:10" x14ac:dyDescent="0.3">
      <c r="A97" s="22" t="s">
        <v>81</v>
      </c>
      <c r="B97" s="4" t="s">
        <v>193</v>
      </c>
      <c r="C97" s="23" t="s">
        <v>226</v>
      </c>
      <c r="D97" s="23" t="s">
        <v>172</v>
      </c>
      <c r="E97" s="23" t="s">
        <v>72</v>
      </c>
      <c r="F97" s="23" t="s">
        <v>72</v>
      </c>
      <c r="G97" s="33">
        <v>39</v>
      </c>
      <c r="H97" s="33">
        <v>110</v>
      </c>
      <c r="I97" s="33">
        <v>149</v>
      </c>
      <c r="J97" s="4"/>
    </row>
    <row r="98" spans="1:10" x14ac:dyDescent="0.3">
      <c r="A98" s="22" t="s">
        <v>81</v>
      </c>
      <c r="B98" s="4" t="s">
        <v>194</v>
      </c>
      <c r="C98" s="23" t="s">
        <v>220</v>
      </c>
      <c r="D98" s="23" t="s">
        <v>231</v>
      </c>
      <c r="E98" s="23" t="s">
        <v>72</v>
      </c>
      <c r="F98" s="23" t="s">
        <v>72</v>
      </c>
      <c r="G98" s="33">
        <v>19</v>
      </c>
      <c r="H98" s="33">
        <v>78</v>
      </c>
      <c r="I98" s="33">
        <v>97</v>
      </c>
      <c r="J98" s="4"/>
    </row>
    <row r="99" spans="1:10" x14ac:dyDescent="0.3">
      <c r="A99" s="22" t="s">
        <v>81</v>
      </c>
      <c r="B99" s="4" t="s">
        <v>195</v>
      </c>
      <c r="C99" s="23" t="s">
        <v>153</v>
      </c>
      <c r="D99" s="23" t="s">
        <v>221</v>
      </c>
      <c r="E99" s="23" t="s">
        <v>72</v>
      </c>
      <c r="F99" s="23" t="s">
        <v>72</v>
      </c>
      <c r="G99" s="33">
        <v>23</v>
      </c>
      <c r="H99" s="33">
        <v>139</v>
      </c>
      <c r="I99" s="33">
        <v>162</v>
      </c>
      <c r="J99" s="4"/>
    </row>
    <row r="100" spans="1:10" x14ac:dyDescent="0.3">
      <c r="A100" s="22" t="s">
        <v>81</v>
      </c>
      <c r="B100" s="4" t="s">
        <v>196</v>
      </c>
      <c r="C100" s="23" t="s">
        <v>161</v>
      </c>
      <c r="D100" s="23" t="s">
        <v>175</v>
      </c>
      <c r="E100" s="23" t="s">
        <v>72</v>
      </c>
      <c r="F100" s="23" t="s">
        <v>72</v>
      </c>
      <c r="G100" s="33">
        <v>22</v>
      </c>
      <c r="H100" s="33">
        <v>129</v>
      </c>
      <c r="I100" s="33">
        <v>151</v>
      </c>
      <c r="J100" s="4"/>
    </row>
    <row r="101" spans="1:10" x14ac:dyDescent="0.3">
      <c r="A101" s="22" t="s">
        <v>81</v>
      </c>
      <c r="B101" s="4" t="s">
        <v>197</v>
      </c>
      <c r="C101" s="23" t="s">
        <v>72</v>
      </c>
      <c r="D101" s="23" t="s">
        <v>72</v>
      </c>
      <c r="E101" s="23" t="s">
        <v>72</v>
      </c>
      <c r="F101" s="23" t="s">
        <v>72</v>
      </c>
      <c r="G101" s="33">
        <v>0</v>
      </c>
      <c r="H101" s="33">
        <v>0</v>
      </c>
      <c r="I101" s="33">
        <v>0</v>
      </c>
      <c r="J101" s="4"/>
    </row>
    <row r="102" spans="1:10" x14ac:dyDescent="0.3">
      <c r="A102" s="22" t="s">
        <v>81</v>
      </c>
      <c r="B102" s="4" t="s">
        <v>198</v>
      </c>
      <c r="C102" s="23" t="s">
        <v>72</v>
      </c>
      <c r="D102" s="23" t="s">
        <v>72</v>
      </c>
      <c r="E102" s="23" t="s">
        <v>72</v>
      </c>
      <c r="F102" s="23" t="s">
        <v>72</v>
      </c>
      <c r="G102" s="33">
        <v>0</v>
      </c>
      <c r="H102" s="33">
        <v>0</v>
      </c>
      <c r="I102" s="33">
        <v>0</v>
      </c>
      <c r="J102" s="4"/>
    </row>
    <row r="103" spans="1:10" x14ac:dyDescent="0.3">
      <c r="A103" s="22" t="s">
        <v>81</v>
      </c>
      <c r="B103" s="4" t="s">
        <v>199</v>
      </c>
      <c r="C103" s="23" t="s">
        <v>72</v>
      </c>
      <c r="D103" s="23" t="s">
        <v>72</v>
      </c>
      <c r="E103" s="23" t="s">
        <v>72</v>
      </c>
      <c r="F103" s="23" t="s">
        <v>72</v>
      </c>
      <c r="G103" s="33">
        <v>0</v>
      </c>
      <c r="H103" s="33">
        <v>0</v>
      </c>
      <c r="I103" s="33">
        <v>0</v>
      </c>
      <c r="J103" s="4"/>
    </row>
    <row r="104" spans="1:10" x14ac:dyDescent="0.3">
      <c r="A104" s="22" t="s">
        <v>81</v>
      </c>
      <c r="B104" s="4" t="s">
        <v>200</v>
      </c>
      <c r="C104" s="23" t="s">
        <v>64</v>
      </c>
      <c r="D104" s="23" t="s">
        <v>207</v>
      </c>
      <c r="E104" s="23" t="s">
        <v>72</v>
      </c>
      <c r="F104" s="23" t="s">
        <v>72</v>
      </c>
      <c r="G104" s="33">
        <v>31</v>
      </c>
      <c r="H104" s="33">
        <v>113</v>
      </c>
      <c r="I104" s="33">
        <v>144</v>
      </c>
      <c r="J104" s="4"/>
    </row>
    <row r="105" spans="1:10" x14ac:dyDescent="0.3">
      <c r="A105" s="22" t="s">
        <v>81</v>
      </c>
      <c r="B105" s="4" t="s">
        <v>201</v>
      </c>
      <c r="C105" s="23" t="s">
        <v>232</v>
      </c>
      <c r="D105" s="23" t="s">
        <v>233</v>
      </c>
      <c r="E105" s="23" t="s">
        <v>72</v>
      </c>
      <c r="F105" s="23" t="s">
        <v>72</v>
      </c>
      <c r="G105" s="33">
        <v>21</v>
      </c>
      <c r="H105" s="33">
        <v>84</v>
      </c>
      <c r="I105" s="33">
        <v>105</v>
      </c>
      <c r="J105" s="4"/>
    </row>
    <row r="106" spans="1:10" x14ac:dyDescent="0.3">
      <c r="A106" s="22" t="s">
        <v>81</v>
      </c>
      <c r="B106" s="4" t="s">
        <v>202</v>
      </c>
      <c r="C106" s="23" t="s">
        <v>208</v>
      </c>
      <c r="D106" s="23" t="s">
        <v>72</v>
      </c>
      <c r="E106" s="23" t="s">
        <v>72</v>
      </c>
      <c r="F106" s="23" t="s">
        <v>72</v>
      </c>
      <c r="G106" s="33">
        <v>26</v>
      </c>
      <c r="H106" s="33">
        <v>0</v>
      </c>
      <c r="I106" s="33">
        <v>26</v>
      </c>
      <c r="J106" s="4"/>
    </row>
    <row r="107" spans="1:10" x14ac:dyDescent="0.3">
      <c r="A107" s="22" t="s">
        <v>81</v>
      </c>
      <c r="B107" s="4" t="s">
        <v>203</v>
      </c>
      <c r="C107" s="23" t="s">
        <v>167</v>
      </c>
      <c r="D107" s="23" t="s">
        <v>176</v>
      </c>
      <c r="E107" s="23" t="s">
        <v>72</v>
      </c>
      <c r="F107" s="23" t="s">
        <v>72</v>
      </c>
      <c r="G107" s="33">
        <v>24</v>
      </c>
      <c r="H107" s="33">
        <v>117</v>
      </c>
      <c r="I107" s="33">
        <v>141</v>
      </c>
      <c r="J107" s="4"/>
    </row>
    <row r="108" spans="1:10" x14ac:dyDescent="0.3">
      <c r="A108" s="22" t="s">
        <v>109</v>
      </c>
      <c r="B108" s="4" t="s">
        <v>189</v>
      </c>
      <c r="C108" s="23" t="s">
        <v>72</v>
      </c>
      <c r="D108" s="23" t="s">
        <v>72</v>
      </c>
      <c r="E108" s="23" t="s">
        <v>72</v>
      </c>
      <c r="F108" s="23" t="s">
        <v>72</v>
      </c>
      <c r="G108" s="33">
        <v>0</v>
      </c>
      <c r="H108" s="33">
        <v>0</v>
      </c>
      <c r="I108" s="33">
        <v>0</v>
      </c>
      <c r="J108" s="4"/>
    </row>
    <row r="109" spans="1:10" x14ac:dyDescent="0.3">
      <c r="A109" s="22" t="s">
        <v>109</v>
      </c>
      <c r="B109" s="4" t="s">
        <v>190</v>
      </c>
      <c r="C109" s="23" t="s">
        <v>72</v>
      </c>
      <c r="D109" s="23" t="s">
        <v>72</v>
      </c>
      <c r="E109" s="23" t="s">
        <v>72</v>
      </c>
      <c r="F109" s="23" t="s">
        <v>72</v>
      </c>
      <c r="G109" s="33">
        <v>0</v>
      </c>
      <c r="H109" s="33">
        <v>0</v>
      </c>
      <c r="I109" s="33">
        <v>0</v>
      </c>
      <c r="J109" s="4"/>
    </row>
    <row r="110" spans="1:10" x14ac:dyDescent="0.3">
      <c r="A110" s="22" t="s">
        <v>109</v>
      </c>
      <c r="B110" s="4" t="s">
        <v>191</v>
      </c>
      <c r="C110" s="23" t="s">
        <v>72</v>
      </c>
      <c r="D110" s="23" t="s">
        <v>72</v>
      </c>
      <c r="E110" s="23" t="s">
        <v>72</v>
      </c>
      <c r="F110" s="23" t="s">
        <v>72</v>
      </c>
      <c r="G110" s="33">
        <v>0</v>
      </c>
      <c r="H110" s="33">
        <v>0</v>
      </c>
      <c r="I110" s="33">
        <v>0</v>
      </c>
      <c r="J110" s="4"/>
    </row>
    <row r="111" spans="1:10" x14ac:dyDescent="0.3">
      <c r="A111" s="22" t="s">
        <v>109</v>
      </c>
      <c r="B111" s="4" t="s">
        <v>192</v>
      </c>
      <c r="C111" s="23" t="s">
        <v>72</v>
      </c>
      <c r="D111" s="23" t="s">
        <v>72</v>
      </c>
      <c r="E111" s="23" t="s">
        <v>72</v>
      </c>
      <c r="F111" s="23" t="s">
        <v>72</v>
      </c>
      <c r="G111" s="33">
        <v>0</v>
      </c>
      <c r="H111" s="33">
        <v>0</v>
      </c>
      <c r="I111" s="33">
        <v>0</v>
      </c>
      <c r="J111" s="4"/>
    </row>
    <row r="112" spans="1:10" x14ac:dyDescent="0.3">
      <c r="A112" s="22" t="s">
        <v>109</v>
      </c>
      <c r="B112" s="4" t="s">
        <v>193</v>
      </c>
      <c r="C112" s="23" t="s">
        <v>72</v>
      </c>
      <c r="D112" s="23" t="s">
        <v>72</v>
      </c>
      <c r="E112" s="23" t="s">
        <v>72</v>
      </c>
      <c r="F112" s="23" t="s">
        <v>72</v>
      </c>
      <c r="G112" s="33">
        <v>0</v>
      </c>
      <c r="H112" s="33">
        <v>0</v>
      </c>
      <c r="I112" s="33">
        <v>0</v>
      </c>
      <c r="J112" s="4"/>
    </row>
    <row r="113" spans="1:10" x14ac:dyDescent="0.3">
      <c r="A113" s="22" t="s">
        <v>109</v>
      </c>
      <c r="B113" s="4" t="s">
        <v>194</v>
      </c>
      <c r="C113" s="23" t="s">
        <v>72</v>
      </c>
      <c r="D113" s="23" t="s">
        <v>72</v>
      </c>
      <c r="E113" s="23" t="s">
        <v>72</v>
      </c>
      <c r="F113" s="23" t="s">
        <v>72</v>
      </c>
      <c r="G113" s="33">
        <v>0</v>
      </c>
      <c r="H113" s="33">
        <v>0</v>
      </c>
      <c r="I113" s="33">
        <v>0</v>
      </c>
      <c r="J113" s="4"/>
    </row>
    <row r="114" spans="1:10" x14ac:dyDescent="0.3">
      <c r="A114" s="22" t="s">
        <v>109</v>
      </c>
      <c r="B114" s="4" t="s">
        <v>195</v>
      </c>
      <c r="C114" s="23" t="s">
        <v>72</v>
      </c>
      <c r="D114" s="23" t="s">
        <v>72</v>
      </c>
      <c r="E114" s="23" t="s">
        <v>72</v>
      </c>
      <c r="F114" s="23" t="s">
        <v>72</v>
      </c>
      <c r="G114" s="33">
        <v>0</v>
      </c>
      <c r="H114" s="33">
        <v>0</v>
      </c>
      <c r="I114" s="33">
        <v>0</v>
      </c>
      <c r="J114" s="4"/>
    </row>
    <row r="115" spans="1:10" x14ac:dyDescent="0.3">
      <c r="A115" s="22" t="s">
        <v>109</v>
      </c>
      <c r="B115" s="4" t="s">
        <v>196</v>
      </c>
      <c r="C115" s="23" t="s">
        <v>72</v>
      </c>
      <c r="D115" s="23" t="s">
        <v>72</v>
      </c>
      <c r="E115" s="23" t="s">
        <v>72</v>
      </c>
      <c r="F115" s="23" t="s">
        <v>72</v>
      </c>
      <c r="G115" s="33">
        <v>0</v>
      </c>
      <c r="H115" s="33">
        <v>0</v>
      </c>
      <c r="I115" s="33">
        <v>0</v>
      </c>
      <c r="J115" s="4"/>
    </row>
    <row r="116" spans="1:10" x14ac:dyDescent="0.3">
      <c r="A116" s="22" t="s">
        <v>109</v>
      </c>
      <c r="B116" s="4" t="s">
        <v>197</v>
      </c>
      <c r="C116" s="23" t="s">
        <v>72</v>
      </c>
      <c r="D116" s="23" t="s">
        <v>72</v>
      </c>
      <c r="E116" s="23" t="s">
        <v>72</v>
      </c>
      <c r="F116" s="23" t="s">
        <v>72</v>
      </c>
      <c r="G116" s="33">
        <v>0</v>
      </c>
      <c r="H116" s="33">
        <v>0</v>
      </c>
      <c r="I116" s="33">
        <v>0</v>
      </c>
      <c r="J116" s="4"/>
    </row>
    <row r="117" spans="1:10" x14ac:dyDescent="0.3">
      <c r="A117" s="22" t="s">
        <v>109</v>
      </c>
      <c r="B117" s="4" t="s">
        <v>198</v>
      </c>
      <c r="C117" s="23" t="s">
        <v>72</v>
      </c>
      <c r="D117" s="23" t="s">
        <v>72</v>
      </c>
      <c r="E117" s="23" t="s">
        <v>72</v>
      </c>
      <c r="F117" s="23" t="s">
        <v>72</v>
      </c>
      <c r="G117" s="33">
        <v>0</v>
      </c>
      <c r="H117" s="33">
        <v>0</v>
      </c>
      <c r="I117" s="33">
        <v>0</v>
      </c>
      <c r="J117" s="4"/>
    </row>
    <row r="118" spans="1:10" x14ac:dyDescent="0.3">
      <c r="A118" s="22" t="s">
        <v>109</v>
      </c>
      <c r="B118" s="4" t="s">
        <v>199</v>
      </c>
      <c r="C118" s="23" t="s">
        <v>72</v>
      </c>
      <c r="D118" s="23" t="s">
        <v>72</v>
      </c>
      <c r="E118" s="23" t="s">
        <v>72</v>
      </c>
      <c r="F118" s="23" t="s">
        <v>72</v>
      </c>
      <c r="G118" s="33">
        <v>0</v>
      </c>
      <c r="H118" s="33">
        <v>0</v>
      </c>
      <c r="I118" s="33">
        <v>0</v>
      </c>
      <c r="J118" s="4"/>
    </row>
    <row r="119" spans="1:10" x14ac:dyDescent="0.3">
      <c r="A119" s="22" t="s">
        <v>109</v>
      </c>
      <c r="B119" s="4" t="s">
        <v>200</v>
      </c>
      <c r="C119" s="23" t="s">
        <v>72</v>
      </c>
      <c r="D119" s="23" t="s">
        <v>72</v>
      </c>
      <c r="E119" s="23" t="s">
        <v>72</v>
      </c>
      <c r="F119" s="23" t="s">
        <v>72</v>
      </c>
      <c r="G119" s="33">
        <v>0</v>
      </c>
      <c r="H119" s="33">
        <v>0</v>
      </c>
      <c r="I119" s="33">
        <v>0</v>
      </c>
      <c r="J119" s="4"/>
    </row>
    <row r="120" spans="1:10" x14ac:dyDescent="0.3">
      <c r="A120" s="22" t="s">
        <v>109</v>
      </c>
      <c r="B120" s="4" t="s">
        <v>201</v>
      </c>
      <c r="C120" s="23" t="s">
        <v>72</v>
      </c>
      <c r="D120" s="23" t="s">
        <v>72</v>
      </c>
      <c r="E120" s="23" t="s">
        <v>72</v>
      </c>
      <c r="F120" s="23" t="s">
        <v>72</v>
      </c>
      <c r="G120" s="33">
        <v>0</v>
      </c>
      <c r="H120" s="33">
        <v>0</v>
      </c>
      <c r="I120" s="33">
        <v>0</v>
      </c>
      <c r="J120" s="4"/>
    </row>
    <row r="121" spans="1:10" x14ac:dyDescent="0.3">
      <c r="A121" s="22" t="s">
        <v>109</v>
      </c>
      <c r="B121" s="4" t="s">
        <v>202</v>
      </c>
      <c r="C121" s="23" t="s">
        <v>72</v>
      </c>
      <c r="D121" s="23" t="s">
        <v>72</v>
      </c>
      <c r="E121" s="23" t="s">
        <v>72</v>
      </c>
      <c r="F121" s="23" t="s">
        <v>72</v>
      </c>
      <c r="G121" s="33">
        <v>0</v>
      </c>
      <c r="H121" s="33">
        <v>0</v>
      </c>
      <c r="I121" s="33">
        <v>0</v>
      </c>
      <c r="J121" s="4"/>
    </row>
    <row r="122" spans="1:10" x14ac:dyDescent="0.3">
      <c r="A122" s="22" t="s">
        <v>109</v>
      </c>
      <c r="B122" s="4" t="s">
        <v>203</v>
      </c>
      <c r="C122" s="23" t="s">
        <v>72</v>
      </c>
      <c r="D122" s="23" t="s">
        <v>72</v>
      </c>
      <c r="E122" s="23" t="s">
        <v>72</v>
      </c>
      <c r="F122" s="23" t="s">
        <v>72</v>
      </c>
      <c r="G122" s="33">
        <v>0</v>
      </c>
      <c r="H122" s="33">
        <v>0</v>
      </c>
      <c r="I122" s="33">
        <v>0</v>
      </c>
      <c r="J122" s="4"/>
    </row>
    <row r="123" spans="1:10" x14ac:dyDescent="0.3">
      <c r="A123" s="22" t="s">
        <v>139</v>
      </c>
      <c r="B123" s="4" t="s">
        <v>189</v>
      </c>
      <c r="C123" s="23" t="s">
        <v>72</v>
      </c>
      <c r="D123" s="23" t="s">
        <v>72</v>
      </c>
      <c r="E123" s="23" t="s">
        <v>72</v>
      </c>
      <c r="F123" s="23" t="s">
        <v>72</v>
      </c>
      <c r="G123" s="33">
        <v>0</v>
      </c>
      <c r="H123" s="33">
        <v>0</v>
      </c>
      <c r="I123" s="33">
        <v>0</v>
      </c>
      <c r="J123" s="4"/>
    </row>
    <row r="124" spans="1:10" x14ac:dyDescent="0.3">
      <c r="A124" s="22" t="s">
        <v>139</v>
      </c>
      <c r="B124" s="4" t="s">
        <v>190</v>
      </c>
      <c r="C124" s="23" t="s">
        <v>72</v>
      </c>
      <c r="D124" s="23" t="s">
        <v>72</v>
      </c>
      <c r="E124" s="23" t="s">
        <v>72</v>
      </c>
      <c r="F124" s="23" t="s">
        <v>72</v>
      </c>
      <c r="G124" s="33">
        <v>0</v>
      </c>
      <c r="H124" s="33">
        <v>0</v>
      </c>
      <c r="I124" s="33">
        <v>0</v>
      </c>
      <c r="J124" s="4"/>
    </row>
    <row r="125" spans="1:10" x14ac:dyDescent="0.3">
      <c r="A125" s="22" t="s">
        <v>139</v>
      </c>
      <c r="B125" s="4" t="s">
        <v>191</v>
      </c>
      <c r="C125" s="23" t="s">
        <v>72</v>
      </c>
      <c r="D125" s="23" t="s">
        <v>72</v>
      </c>
      <c r="E125" s="23" t="s">
        <v>72</v>
      </c>
      <c r="F125" s="23" t="s">
        <v>72</v>
      </c>
      <c r="G125" s="33">
        <v>0</v>
      </c>
      <c r="H125" s="33">
        <v>0</v>
      </c>
      <c r="I125" s="33">
        <v>0</v>
      </c>
      <c r="J125" s="4"/>
    </row>
    <row r="126" spans="1:10" x14ac:dyDescent="0.3">
      <c r="A126" s="22" t="s">
        <v>139</v>
      </c>
      <c r="B126" s="4" t="s">
        <v>192</v>
      </c>
      <c r="C126" s="23" t="s">
        <v>72</v>
      </c>
      <c r="D126" s="23" t="s">
        <v>72</v>
      </c>
      <c r="E126" s="23" t="s">
        <v>72</v>
      </c>
      <c r="F126" s="23" t="s">
        <v>72</v>
      </c>
      <c r="G126" s="33">
        <v>0</v>
      </c>
      <c r="H126" s="33">
        <v>0</v>
      </c>
      <c r="I126" s="33">
        <v>0</v>
      </c>
      <c r="J126" s="4"/>
    </row>
    <row r="127" spans="1:10" x14ac:dyDescent="0.3">
      <c r="A127" s="22" t="s">
        <v>139</v>
      </c>
      <c r="B127" s="4" t="s">
        <v>193</v>
      </c>
      <c r="C127" s="23" t="s">
        <v>72</v>
      </c>
      <c r="D127" s="23" t="s">
        <v>72</v>
      </c>
      <c r="E127" s="23" t="s">
        <v>72</v>
      </c>
      <c r="F127" s="23" t="s">
        <v>72</v>
      </c>
      <c r="G127" s="33">
        <v>0</v>
      </c>
      <c r="H127" s="33">
        <v>0</v>
      </c>
      <c r="I127" s="33">
        <v>0</v>
      </c>
      <c r="J127" s="4"/>
    </row>
    <row r="128" spans="1:10" x14ac:dyDescent="0.3">
      <c r="A128" s="22" t="s">
        <v>139</v>
      </c>
      <c r="B128" s="4" t="s">
        <v>194</v>
      </c>
      <c r="C128" s="23" t="s">
        <v>72</v>
      </c>
      <c r="D128" s="23" t="s">
        <v>72</v>
      </c>
      <c r="E128" s="23" t="s">
        <v>72</v>
      </c>
      <c r="F128" s="23" t="s">
        <v>72</v>
      </c>
      <c r="G128" s="33">
        <v>0</v>
      </c>
      <c r="H128" s="33">
        <v>0</v>
      </c>
      <c r="I128" s="33">
        <v>0</v>
      </c>
      <c r="J128" s="4"/>
    </row>
    <row r="129" spans="1:10" x14ac:dyDescent="0.3">
      <c r="A129" s="22" t="s">
        <v>139</v>
      </c>
      <c r="B129" s="4" t="s">
        <v>195</v>
      </c>
      <c r="C129" s="23" t="s">
        <v>72</v>
      </c>
      <c r="D129" s="23" t="s">
        <v>72</v>
      </c>
      <c r="E129" s="23" t="s">
        <v>72</v>
      </c>
      <c r="F129" s="23" t="s">
        <v>72</v>
      </c>
      <c r="G129" s="33">
        <v>0</v>
      </c>
      <c r="H129" s="33">
        <v>0</v>
      </c>
      <c r="I129" s="33">
        <v>0</v>
      </c>
      <c r="J129" s="4"/>
    </row>
    <row r="130" spans="1:10" x14ac:dyDescent="0.3">
      <c r="A130" s="22" t="s">
        <v>139</v>
      </c>
      <c r="B130" s="4" t="s">
        <v>196</v>
      </c>
      <c r="C130" s="23" t="s">
        <v>72</v>
      </c>
      <c r="D130" s="23" t="s">
        <v>72</v>
      </c>
      <c r="E130" s="23" t="s">
        <v>72</v>
      </c>
      <c r="F130" s="23" t="s">
        <v>72</v>
      </c>
      <c r="G130" s="33">
        <v>0</v>
      </c>
      <c r="H130" s="33">
        <v>0</v>
      </c>
      <c r="I130" s="33">
        <v>0</v>
      </c>
      <c r="J130" s="4"/>
    </row>
    <row r="131" spans="1:10" x14ac:dyDescent="0.3">
      <c r="A131" s="22" t="s">
        <v>139</v>
      </c>
      <c r="B131" s="4" t="s">
        <v>197</v>
      </c>
      <c r="C131" s="23" t="s">
        <v>72</v>
      </c>
      <c r="D131" s="23" t="s">
        <v>72</v>
      </c>
      <c r="E131" s="23" t="s">
        <v>72</v>
      </c>
      <c r="F131" s="23" t="s">
        <v>72</v>
      </c>
      <c r="G131" s="33">
        <v>0</v>
      </c>
      <c r="H131" s="33">
        <v>0</v>
      </c>
      <c r="I131" s="33">
        <v>0</v>
      </c>
      <c r="J131" s="4"/>
    </row>
    <row r="132" spans="1:10" x14ac:dyDescent="0.3">
      <c r="A132" s="22" t="s">
        <v>139</v>
      </c>
      <c r="B132" s="4" t="s">
        <v>198</v>
      </c>
      <c r="C132" s="23" t="s">
        <v>72</v>
      </c>
      <c r="D132" s="23" t="s">
        <v>72</v>
      </c>
      <c r="E132" s="23" t="s">
        <v>72</v>
      </c>
      <c r="F132" s="23" t="s">
        <v>72</v>
      </c>
      <c r="G132" s="33">
        <v>0</v>
      </c>
      <c r="H132" s="33">
        <v>0</v>
      </c>
      <c r="I132" s="33">
        <v>0</v>
      </c>
      <c r="J132" s="4"/>
    </row>
    <row r="133" spans="1:10" x14ac:dyDescent="0.3">
      <c r="A133" s="22" t="s">
        <v>139</v>
      </c>
      <c r="B133" s="4" t="s">
        <v>199</v>
      </c>
      <c r="C133" s="23" t="s">
        <v>72</v>
      </c>
      <c r="D133" s="23" t="s">
        <v>72</v>
      </c>
      <c r="E133" s="23" t="s">
        <v>72</v>
      </c>
      <c r="F133" s="23" t="s">
        <v>72</v>
      </c>
      <c r="G133" s="33">
        <v>0</v>
      </c>
      <c r="H133" s="33">
        <v>0</v>
      </c>
      <c r="I133" s="33">
        <v>0</v>
      </c>
      <c r="J133" s="4"/>
    </row>
    <row r="134" spans="1:10" x14ac:dyDescent="0.3">
      <c r="A134" s="22" t="s">
        <v>139</v>
      </c>
      <c r="B134" s="4" t="s">
        <v>200</v>
      </c>
      <c r="C134" s="23" t="s">
        <v>72</v>
      </c>
      <c r="D134" s="23" t="s">
        <v>72</v>
      </c>
      <c r="E134" s="23" t="s">
        <v>72</v>
      </c>
      <c r="F134" s="23" t="s">
        <v>72</v>
      </c>
      <c r="G134" s="33">
        <v>0</v>
      </c>
      <c r="H134" s="33">
        <v>0</v>
      </c>
      <c r="I134" s="33">
        <v>0</v>
      </c>
      <c r="J134" s="4"/>
    </row>
    <row r="135" spans="1:10" x14ac:dyDescent="0.3">
      <c r="A135" s="22" t="s">
        <v>139</v>
      </c>
      <c r="B135" s="4" t="s">
        <v>201</v>
      </c>
      <c r="C135" s="23" t="s">
        <v>72</v>
      </c>
      <c r="D135" s="23" t="s">
        <v>72</v>
      </c>
      <c r="E135" s="23" t="s">
        <v>72</v>
      </c>
      <c r="F135" s="23" t="s">
        <v>72</v>
      </c>
      <c r="G135" s="33">
        <v>0</v>
      </c>
      <c r="H135" s="33">
        <v>0</v>
      </c>
      <c r="I135" s="33">
        <v>0</v>
      </c>
      <c r="J135" s="4"/>
    </row>
    <row r="136" spans="1:10" x14ac:dyDescent="0.3">
      <c r="A136" s="22" t="s">
        <v>139</v>
      </c>
      <c r="B136" s="4" t="s">
        <v>202</v>
      </c>
      <c r="C136" s="23" t="s">
        <v>72</v>
      </c>
      <c r="D136" s="23" t="s">
        <v>72</v>
      </c>
      <c r="E136" s="23" t="s">
        <v>72</v>
      </c>
      <c r="F136" s="23" t="s">
        <v>72</v>
      </c>
      <c r="G136" s="33">
        <v>0</v>
      </c>
      <c r="H136" s="33">
        <v>0</v>
      </c>
      <c r="I136" s="33">
        <v>0</v>
      </c>
      <c r="J136" s="4"/>
    </row>
    <row r="137" spans="1:10" x14ac:dyDescent="0.3">
      <c r="A137" s="22" t="s">
        <v>139</v>
      </c>
      <c r="B137" s="4" t="s">
        <v>203</v>
      </c>
      <c r="C137" s="23" t="s">
        <v>72</v>
      </c>
      <c r="D137" s="23" t="s">
        <v>72</v>
      </c>
      <c r="E137" s="23" t="s">
        <v>72</v>
      </c>
      <c r="F137" s="23" t="s">
        <v>72</v>
      </c>
      <c r="G137" s="33">
        <v>0</v>
      </c>
      <c r="H137" s="33">
        <v>0</v>
      </c>
      <c r="I137" s="33">
        <v>0</v>
      </c>
      <c r="J137" s="4"/>
    </row>
    <row r="138" spans="1:10" x14ac:dyDescent="0.3">
      <c r="A138" s="22" t="s">
        <v>82</v>
      </c>
      <c r="B138" s="4" t="s">
        <v>189</v>
      </c>
      <c r="C138" s="23" t="s">
        <v>234</v>
      </c>
      <c r="D138" s="23" t="s">
        <v>164</v>
      </c>
      <c r="E138" s="23" t="s">
        <v>72</v>
      </c>
      <c r="F138" s="23" t="s">
        <v>72</v>
      </c>
      <c r="G138" s="33">
        <v>38</v>
      </c>
      <c r="H138" s="33">
        <v>125</v>
      </c>
      <c r="I138" s="33">
        <v>163</v>
      </c>
      <c r="J138" s="4"/>
    </row>
    <row r="139" spans="1:10" x14ac:dyDescent="0.3">
      <c r="A139" s="22" t="s">
        <v>82</v>
      </c>
      <c r="B139" s="4" t="s">
        <v>190</v>
      </c>
      <c r="C139" s="23" t="s">
        <v>69</v>
      </c>
      <c r="D139" s="23" t="s">
        <v>219</v>
      </c>
      <c r="E139" s="23" t="s">
        <v>72</v>
      </c>
      <c r="F139" s="23" t="s">
        <v>72</v>
      </c>
      <c r="G139" s="33">
        <v>34</v>
      </c>
      <c r="H139" s="33">
        <v>145</v>
      </c>
      <c r="I139" s="33">
        <v>179</v>
      </c>
      <c r="J139" s="4"/>
    </row>
    <row r="140" spans="1:10" x14ac:dyDescent="0.3">
      <c r="A140" s="22" t="s">
        <v>82</v>
      </c>
      <c r="B140" s="4" t="s">
        <v>191</v>
      </c>
      <c r="C140" s="23" t="s">
        <v>135</v>
      </c>
      <c r="D140" s="23" t="s">
        <v>57</v>
      </c>
      <c r="E140" s="23" t="s">
        <v>72</v>
      </c>
      <c r="F140" s="23" t="s">
        <v>72</v>
      </c>
      <c r="G140" s="33">
        <v>36</v>
      </c>
      <c r="H140" s="33">
        <v>150</v>
      </c>
      <c r="I140" s="33">
        <v>186</v>
      </c>
      <c r="J140" s="4"/>
    </row>
    <row r="141" spans="1:10" x14ac:dyDescent="0.3">
      <c r="A141" s="22" t="s">
        <v>82</v>
      </c>
      <c r="B141" s="4" t="s">
        <v>192</v>
      </c>
      <c r="C141" s="23" t="s">
        <v>234</v>
      </c>
      <c r="D141" s="23" t="s">
        <v>218</v>
      </c>
      <c r="E141" s="23" t="s">
        <v>72</v>
      </c>
      <c r="F141" s="23" t="s">
        <v>72</v>
      </c>
      <c r="G141" s="33">
        <v>38</v>
      </c>
      <c r="H141" s="33">
        <v>142</v>
      </c>
      <c r="I141" s="33">
        <v>180</v>
      </c>
      <c r="J141" s="4"/>
    </row>
    <row r="142" spans="1:10" x14ac:dyDescent="0.3">
      <c r="A142" s="22" t="s">
        <v>82</v>
      </c>
      <c r="B142" s="4" t="s">
        <v>193</v>
      </c>
      <c r="C142" s="23" t="s">
        <v>72</v>
      </c>
      <c r="D142" s="23" t="s">
        <v>72</v>
      </c>
      <c r="E142" s="23" t="s">
        <v>72</v>
      </c>
      <c r="F142" s="23" t="s">
        <v>72</v>
      </c>
      <c r="G142" s="33">
        <v>0</v>
      </c>
      <c r="H142" s="33">
        <v>0</v>
      </c>
      <c r="I142" s="33">
        <v>0</v>
      </c>
      <c r="J142" s="4"/>
    </row>
    <row r="143" spans="1:10" x14ac:dyDescent="0.3">
      <c r="A143" s="22" t="s">
        <v>82</v>
      </c>
      <c r="B143" s="4" t="s">
        <v>194</v>
      </c>
      <c r="C143" s="23" t="s">
        <v>135</v>
      </c>
      <c r="D143" s="23" t="s">
        <v>175</v>
      </c>
      <c r="E143" s="23" t="s">
        <v>72</v>
      </c>
      <c r="F143" s="23" t="s">
        <v>72</v>
      </c>
      <c r="G143" s="33">
        <v>36</v>
      </c>
      <c r="H143" s="33">
        <v>129</v>
      </c>
      <c r="I143" s="33">
        <v>165</v>
      </c>
      <c r="J143" s="4"/>
    </row>
    <row r="144" spans="1:10" x14ac:dyDescent="0.3">
      <c r="A144" s="22" t="s">
        <v>82</v>
      </c>
      <c r="B144" s="4" t="s">
        <v>195</v>
      </c>
      <c r="C144" s="23" t="s">
        <v>212</v>
      </c>
      <c r="D144" s="23" t="s">
        <v>235</v>
      </c>
      <c r="E144" s="23" t="s">
        <v>72</v>
      </c>
      <c r="F144" s="23" t="s">
        <v>72</v>
      </c>
      <c r="G144" s="33">
        <v>41</v>
      </c>
      <c r="H144" s="33">
        <v>143</v>
      </c>
      <c r="I144" s="33">
        <v>184</v>
      </c>
      <c r="J144" s="4"/>
    </row>
    <row r="145" spans="1:10" x14ac:dyDescent="0.3">
      <c r="A145" s="22" t="s">
        <v>82</v>
      </c>
      <c r="B145" s="4" t="s">
        <v>196</v>
      </c>
      <c r="C145" s="23" t="s">
        <v>137</v>
      </c>
      <c r="D145" s="23" t="s">
        <v>221</v>
      </c>
      <c r="E145" s="23" t="s">
        <v>72</v>
      </c>
      <c r="F145" s="23" t="s">
        <v>72</v>
      </c>
      <c r="G145" s="33">
        <v>37</v>
      </c>
      <c r="H145" s="33">
        <v>139</v>
      </c>
      <c r="I145" s="33">
        <v>176</v>
      </c>
      <c r="J145" s="4"/>
    </row>
    <row r="146" spans="1:10" x14ac:dyDescent="0.3">
      <c r="A146" s="22" t="s">
        <v>82</v>
      </c>
      <c r="B146" s="4" t="s">
        <v>197</v>
      </c>
      <c r="C146" s="23" t="s">
        <v>72</v>
      </c>
      <c r="D146" s="23" t="s">
        <v>72</v>
      </c>
      <c r="E146" s="23" t="s">
        <v>72</v>
      </c>
      <c r="F146" s="23" t="s">
        <v>72</v>
      </c>
      <c r="G146" s="33">
        <v>0</v>
      </c>
      <c r="H146" s="33">
        <v>0</v>
      </c>
      <c r="I146" s="33">
        <v>0</v>
      </c>
      <c r="J146" s="4"/>
    </row>
    <row r="147" spans="1:10" x14ac:dyDescent="0.3">
      <c r="A147" s="22" t="s">
        <v>82</v>
      </c>
      <c r="B147" s="4" t="s">
        <v>198</v>
      </c>
      <c r="C147" s="23" t="s">
        <v>72</v>
      </c>
      <c r="D147" s="23" t="s">
        <v>72</v>
      </c>
      <c r="E147" s="23" t="s">
        <v>72</v>
      </c>
      <c r="F147" s="23" t="s">
        <v>72</v>
      </c>
      <c r="G147" s="33">
        <v>0</v>
      </c>
      <c r="H147" s="33">
        <v>0</v>
      </c>
      <c r="I147" s="33">
        <v>0</v>
      </c>
      <c r="J147" s="4"/>
    </row>
    <row r="148" spans="1:10" x14ac:dyDescent="0.3">
      <c r="A148" s="22" t="s">
        <v>82</v>
      </c>
      <c r="B148" s="4" t="s">
        <v>199</v>
      </c>
      <c r="C148" s="23" t="s">
        <v>72</v>
      </c>
      <c r="D148" s="23" t="s">
        <v>72</v>
      </c>
      <c r="E148" s="23" t="s">
        <v>72</v>
      </c>
      <c r="F148" s="23" t="s">
        <v>72</v>
      </c>
      <c r="G148" s="33">
        <v>0</v>
      </c>
      <c r="H148" s="33">
        <v>0</v>
      </c>
      <c r="I148" s="33">
        <v>0</v>
      </c>
      <c r="J148" s="4"/>
    </row>
    <row r="149" spans="1:10" x14ac:dyDescent="0.3">
      <c r="A149" s="22" t="s">
        <v>82</v>
      </c>
      <c r="B149" s="4" t="s">
        <v>200</v>
      </c>
      <c r="C149" s="23" t="s">
        <v>72</v>
      </c>
      <c r="D149" s="23" t="s">
        <v>72</v>
      </c>
      <c r="E149" s="23" t="s">
        <v>72</v>
      </c>
      <c r="F149" s="23" t="s">
        <v>72</v>
      </c>
      <c r="G149" s="33">
        <v>0</v>
      </c>
      <c r="H149" s="33">
        <v>0</v>
      </c>
      <c r="I149" s="33">
        <v>0</v>
      </c>
      <c r="J149" s="4"/>
    </row>
    <row r="150" spans="1:10" x14ac:dyDescent="0.3">
      <c r="A150" s="22" t="s">
        <v>82</v>
      </c>
      <c r="B150" s="4" t="s">
        <v>201</v>
      </c>
      <c r="C150" s="23" t="s">
        <v>236</v>
      </c>
      <c r="D150" s="23" t="s">
        <v>233</v>
      </c>
      <c r="E150" s="23" t="s">
        <v>72</v>
      </c>
      <c r="F150" s="23" t="s">
        <v>72</v>
      </c>
      <c r="G150" s="33">
        <v>44</v>
      </c>
      <c r="H150" s="33">
        <v>84</v>
      </c>
      <c r="I150" s="33">
        <v>128</v>
      </c>
      <c r="J150" s="4"/>
    </row>
    <row r="151" spans="1:10" x14ac:dyDescent="0.3">
      <c r="A151" s="22" t="s">
        <v>82</v>
      </c>
      <c r="B151" s="4" t="s">
        <v>202</v>
      </c>
      <c r="C151" s="23" t="s">
        <v>237</v>
      </c>
      <c r="D151" s="23" t="s">
        <v>227</v>
      </c>
      <c r="E151" s="23" t="s">
        <v>72</v>
      </c>
      <c r="F151" s="23" t="s">
        <v>72</v>
      </c>
      <c r="G151" s="33">
        <v>46</v>
      </c>
      <c r="H151" s="33">
        <v>332</v>
      </c>
      <c r="I151" s="33">
        <v>378</v>
      </c>
      <c r="J151" s="4"/>
    </row>
    <row r="152" spans="1:10" x14ac:dyDescent="0.3">
      <c r="A152" s="22" t="s">
        <v>82</v>
      </c>
      <c r="B152" s="4" t="s">
        <v>203</v>
      </c>
      <c r="C152" s="23" t="s">
        <v>236</v>
      </c>
      <c r="D152" s="23" t="s">
        <v>238</v>
      </c>
      <c r="E152" s="23" t="s">
        <v>72</v>
      </c>
      <c r="F152" s="23" t="s">
        <v>72</v>
      </c>
      <c r="G152" s="33">
        <v>44</v>
      </c>
      <c r="H152" s="33">
        <v>148</v>
      </c>
      <c r="I152" s="33">
        <v>192</v>
      </c>
      <c r="J152" s="4"/>
    </row>
    <row r="153" spans="1:10" x14ac:dyDescent="0.3">
      <c r="A153" s="22" t="s">
        <v>83</v>
      </c>
      <c r="B153" s="4" t="s">
        <v>189</v>
      </c>
      <c r="C153" s="23" t="s">
        <v>72</v>
      </c>
      <c r="D153" s="23" t="s">
        <v>72</v>
      </c>
      <c r="E153" s="23" t="s">
        <v>72</v>
      </c>
      <c r="F153" s="23" t="s">
        <v>72</v>
      </c>
      <c r="G153" s="33">
        <v>0</v>
      </c>
      <c r="H153" s="33">
        <v>0</v>
      </c>
      <c r="I153" s="33">
        <v>0</v>
      </c>
      <c r="J153" s="4"/>
    </row>
    <row r="154" spans="1:10" x14ac:dyDescent="0.3">
      <c r="A154" s="22" t="s">
        <v>83</v>
      </c>
      <c r="B154" s="4" t="s">
        <v>190</v>
      </c>
      <c r="C154" s="23" t="s">
        <v>72</v>
      </c>
      <c r="D154" s="23" t="s">
        <v>72</v>
      </c>
      <c r="E154" s="23" t="s">
        <v>72</v>
      </c>
      <c r="F154" s="23" t="s">
        <v>72</v>
      </c>
      <c r="G154" s="33">
        <v>0</v>
      </c>
      <c r="H154" s="33">
        <v>0</v>
      </c>
      <c r="I154" s="33">
        <v>0</v>
      </c>
      <c r="J154" s="4"/>
    </row>
    <row r="155" spans="1:10" x14ac:dyDescent="0.3">
      <c r="A155" s="22" t="s">
        <v>83</v>
      </c>
      <c r="B155" s="4" t="s">
        <v>191</v>
      </c>
      <c r="C155" s="23" t="s">
        <v>72</v>
      </c>
      <c r="D155" s="23" t="s">
        <v>72</v>
      </c>
      <c r="E155" s="23" t="s">
        <v>72</v>
      </c>
      <c r="F155" s="23" t="s">
        <v>72</v>
      </c>
      <c r="G155" s="33">
        <v>0</v>
      </c>
      <c r="H155" s="33">
        <v>0</v>
      </c>
      <c r="I155" s="33">
        <v>0</v>
      </c>
      <c r="J155" s="4"/>
    </row>
    <row r="156" spans="1:10" x14ac:dyDescent="0.3">
      <c r="A156" s="22" t="s">
        <v>83</v>
      </c>
      <c r="B156" s="4" t="s">
        <v>192</v>
      </c>
      <c r="C156" s="23" t="s">
        <v>72</v>
      </c>
      <c r="D156" s="23" t="s">
        <v>72</v>
      </c>
      <c r="E156" s="23" t="s">
        <v>72</v>
      </c>
      <c r="F156" s="23" t="s">
        <v>72</v>
      </c>
      <c r="G156" s="33">
        <v>0</v>
      </c>
      <c r="H156" s="33">
        <v>0</v>
      </c>
      <c r="I156" s="33">
        <v>0</v>
      </c>
      <c r="J156" s="4"/>
    </row>
    <row r="157" spans="1:10" x14ac:dyDescent="0.3">
      <c r="A157" s="22" t="s">
        <v>83</v>
      </c>
      <c r="B157" s="4" t="s">
        <v>193</v>
      </c>
      <c r="C157" s="23" t="s">
        <v>72</v>
      </c>
      <c r="D157" s="23" t="s">
        <v>72</v>
      </c>
      <c r="E157" s="23" t="s">
        <v>72</v>
      </c>
      <c r="F157" s="23" t="s">
        <v>72</v>
      </c>
      <c r="G157" s="33">
        <v>0</v>
      </c>
      <c r="H157" s="33">
        <v>0</v>
      </c>
      <c r="I157" s="33">
        <v>0</v>
      </c>
      <c r="J157" s="4"/>
    </row>
    <row r="158" spans="1:10" x14ac:dyDescent="0.3">
      <c r="A158" s="22" t="s">
        <v>83</v>
      </c>
      <c r="B158" s="4" t="s">
        <v>194</v>
      </c>
      <c r="C158" s="23" t="s">
        <v>72</v>
      </c>
      <c r="D158" s="23" t="s">
        <v>72</v>
      </c>
      <c r="E158" s="23" t="s">
        <v>72</v>
      </c>
      <c r="F158" s="23" t="s">
        <v>72</v>
      </c>
      <c r="G158" s="33">
        <v>0</v>
      </c>
      <c r="H158" s="33">
        <v>0</v>
      </c>
      <c r="I158" s="33">
        <v>0</v>
      </c>
      <c r="J158" s="4"/>
    </row>
    <row r="159" spans="1:10" x14ac:dyDescent="0.3">
      <c r="A159" s="22" t="s">
        <v>83</v>
      </c>
      <c r="B159" s="4" t="s">
        <v>195</v>
      </c>
      <c r="C159" s="23" t="s">
        <v>72</v>
      </c>
      <c r="D159" s="23" t="s">
        <v>72</v>
      </c>
      <c r="E159" s="23" t="s">
        <v>72</v>
      </c>
      <c r="F159" s="23" t="s">
        <v>72</v>
      </c>
      <c r="G159" s="33">
        <v>0</v>
      </c>
      <c r="H159" s="33">
        <v>0</v>
      </c>
      <c r="I159" s="33">
        <v>0</v>
      </c>
      <c r="J159" s="4"/>
    </row>
    <row r="160" spans="1:10" x14ac:dyDescent="0.3">
      <c r="A160" s="22" t="s">
        <v>83</v>
      </c>
      <c r="B160" s="4" t="s">
        <v>196</v>
      </c>
      <c r="C160" s="23" t="s">
        <v>72</v>
      </c>
      <c r="D160" s="23" t="s">
        <v>72</v>
      </c>
      <c r="E160" s="23" t="s">
        <v>72</v>
      </c>
      <c r="F160" s="23" t="s">
        <v>72</v>
      </c>
      <c r="G160" s="33">
        <v>0</v>
      </c>
      <c r="H160" s="33">
        <v>0</v>
      </c>
      <c r="I160" s="33">
        <v>0</v>
      </c>
      <c r="J160" s="4"/>
    </row>
    <row r="161" spans="1:10" x14ac:dyDescent="0.3">
      <c r="A161" s="22" t="s">
        <v>83</v>
      </c>
      <c r="B161" s="4" t="s">
        <v>197</v>
      </c>
      <c r="C161" s="23" t="s">
        <v>72</v>
      </c>
      <c r="D161" s="23" t="s">
        <v>72</v>
      </c>
      <c r="E161" s="23" t="s">
        <v>72</v>
      </c>
      <c r="F161" s="23" t="s">
        <v>72</v>
      </c>
      <c r="G161" s="33">
        <v>0</v>
      </c>
      <c r="H161" s="33">
        <v>0</v>
      </c>
      <c r="I161" s="33">
        <v>0</v>
      </c>
      <c r="J161" s="4"/>
    </row>
    <row r="162" spans="1:10" x14ac:dyDescent="0.3">
      <c r="A162" s="22" t="s">
        <v>83</v>
      </c>
      <c r="B162" s="4" t="s">
        <v>198</v>
      </c>
      <c r="C162" s="23" t="s">
        <v>72</v>
      </c>
      <c r="D162" s="23" t="s">
        <v>72</v>
      </c>
      <c r="E162" s="23" t="s">
        <v>72</v>
      </c>
      <c r="F162" s="23" t="s">
        <v>72</v>
      </c>
      <c r="G162" s="33">
        <v>0</v>
      </c>
      <c r="H162" s="33">
        <v>0</v>
      </c>
      <c r="I162" s="33">
        <v>0</v>
      </c>
      <c r="J162" s="4"/>
    </row>
    <row r="163" spans="1:10" x14ac:dyDescent="0.3">
      <c r="A163" s="22" t="s">
        <v>83</v>
      </c>
      <c r="B163" s="4" t="s">
        <v>199</v>
      </c>
      <c r="C163" s="23" t="s">
        <v>72</v>
      </c>
      <c r="D163" s="23" t="s">
        <v>72</v>
      </c>
      <c r="E163" s="23" t="s">
        <v>72</v>
      </c>
      <c r="F163" s="23" t="s">
        <v>72</v>
      </c>
      <c r="G163" s="33">
        <v>0</v>
      </c>
      <c r="H163" s="33">
        <v>0</v>
      </c>
      <c r="I163" s="33">
        <v>0</v>
      </c>
      <c r="J163" s="4"/>
    </row>
    <row r="164" spans="1:10" x14ac:dyDescent="0.3">
      <c r="A164" s="22" t="s">
        <v>83</v>
      </c>
      <c r="B164" s="4" t="s">
        <v>200</v>
      </c>
      <c r="C164" s="23" t="s">
        <v>72</v>
      </c>
      <c r="D164" s="23" t="s">
        <v>72</v>
      </c>
      <c r="E164" s="23" t="s">
        <v>72</v>
      </c>
      <c r="F164" s="23" t="s">
        <v>72</v>
      </c>
      <c r="G164" s="33">
        <v>0</v>
      </c>
      <c r="H164" s="33">
        <v>0</v>
      </c>
      <c r="I164" s="33">
        <v>0</v>
      </c>
      <c r="J164" s="4"/>
    </row>
    <row r="165" spans="1:10" x14ac:dyDescent="0.3">
      <c r="A165" s="22" t="s">
        <v>83</v>
      </c>
      <c r="B165" s="4" t="s">
        <v>201</v>
      </c>
      <c r="C165" s="23" t="s">
        <v>72</v>
      </c>
      <c r="D165" s="23" t="s">
        <v>72</v>
      </c>
      <c r="E165" s="23" t="s">
        <v>72</v>
      </c>
      <c r="F165" s="23" t="s">
        <v>72</v>
      </c>
      <c r="G165" s="33">
        <v>0</v>
      </c>
      <c r="H165" s="33">
        <v>0</v>
      </c>
      <c r="I165" s="33">
        <v>0</v>
      </c>
      <c r="J165" s="4"/>
    </row>
    <row r="166" spans="1:10" x14ac:dyDescent="0.3">
      <c r="A166" s="22" t="s">
        <v>83</v>
      </c>
      <c r="B166" s="4" t="s">
        <v>202</v>
      </c>
      <c r="C166" s="23" t="s">
        <v>72</v>
      </c>
      <c r="D166" s="23" t="s">
        <v>72</v>
      </c>
      <c r="E166" s="23" t="s">
        <v>72</v>
      </c>
      <c r="F166" s="23" t="s">
        <v>72</v>
      </c>
      <c r="G166" s="33">
        <v>0</v>
      </c>
      <c r="H166" s="33">
        <v>0</v>
      </c>
      <c r="I166" s="33">
        <v>0</v>
      </c>
      <c r="J166" s="4"/>
    </row>
    <row r="167" spans="1:10" x14ac:dyDescent="0.3">
      <c r="A167" s="22" t="s">
        <v>83</v>
      </c>
      <c r="B167" s="4" t="s">
        <v>203</v>
      </c>
      <c r="C167" s="23" t="s">
        <v>72</v>
      </c>
      <c r="D167" s="23" t="s">
        <v>72</v>
      </c>
      <c r="E167" s="23" t="s">
        <v>72</v>
      </c>
      <c r="F167" s="23" t="s">
        <v>72</v>
      </c>
      <c r="G167" s="33">
        <v>0</v>
      </c>
      <c r="H167" s="33">
        <v>0</v>
      </c>
      <c r="I167" s="33">
        <v>0</v>
      </c>
      <c r="J167" s="4"/>
    </row>
  </sheetData>
  <mergeCells count="8">
    <mergeCell ref="G1:G2"/>
    <mergeCell ref="H1:H2"/>
    <mergeCell ref="I1:I2"/>
    <mergeCell ref="J1:J2"/>
    <mergeCell ref="A1:A2"/>
    <mergeCell ref="B1:B2"/>
    <mergeCell ref="C1:D1"/>
    <mergeCell ref="E1:F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7"/>
  <sheetViews>
    <sheetView workbookViewId="0">
      <selection activeCell="F2" sqref="F2"/>
    </sheetView>
  </sheetViews>
  <sheetFormatPr defaultColWidth="13.6640625" defaultRowHeight="14.4" x14ac:dyDescent="0.3"/>
  <cols>
    <col min="1" max="1" width="15.88671875" customWidth="1"/>
    <col min="2" max="2" width="20.21875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106</v>
      </c>
      <c r="B2" s="2" t="s">
        <v>19</v>
      </c>
      <c r="C2" s="4" t="s">
        <v>189</v>
      </c>
      <c r="D2" s="23" t="s">
        <v>140</v>
      </c>
      <c r="E2" s="23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 x14ac:dyDescent="0.3">
      <c r="A3" t="s">
        <v>106</v>
      </c>
      <c r="B3" s="2" t="s">
        <v>19</v>
      </c>
      <c r="C3" s="4" t="s">
        <v>190</v>
      </c>
      <c r="D3" s="23" t="s">
        <v>140</v>
      </c>
      <c r="E3" s="23" t="s">
        <v>240</v>
      </c>
      <c r="F3">
        <v>37.5</v>
      </c>
      <c r="G3">
        <f t="shared" si="0"/>
        <v>12.166666666666666</v>
      </c>
      <c r="H3">
        <f t="shared" ref="H3:H8" si="4">MIN(G3,8)</f>
        <v>8</v>
      </c>
      <c r="I3" s="7">
        <f t="shared" ref="I3:I8" si="5">IF(MAX(G3-8,0) - 1 &lt; 0, 0, MAX(G3-8,0) - 1)</f>
        <v>3.1666666666666661</v>
      </c>
      <c r="J3">
        <f t="shared" si="1"/>
        <v>300</v>
      </c>
      <c r="K3">
        <f t="shared" si="2"/>
        <v>142.49999999999997</v>
      </c>
      <c r="L3">
        <f t="shared" si="3"/>
        <v>442.5</v>
      </c>
    </row>
    <row r="4" spans="1:12" x14ac:dyDescent="0.3">
      <c r="A4" t="s">
        <v>106</v>
      </c>
      <c r="B4" s="2" t="s">
        <v>19</v>
      </c>
      <c r="C4" s="4" t="s">
        <v>191</v>
      </c>
      <c r="D4" s="23" t="s">
        <v>31</v>
      </c>
      <c r="E4" s="23" t="s">
        <v>31</v>
      </c>
      <c r="F4">
        <v>37.5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106</v>
      </c>
      <c r="B5" s="2" t="s">
        <v>19</v>
      </c>
      <c r="C5" s="4" t="s">
        <v>192</v>
      </c>
      <c r="D5" s="23" t="s">
        <v>206</v>
      </c>
      <c r="E5" s="23" t="s">
        <v>57</v>
      </c>
      <c r="F5">
        <v>37.5</v>
      </c>
      <c r="G5">
        <f t="shared" si="0"/>
        <v>6.2833333333333323</v>
      </c>
      <c r="H5">
        <f t="shared" si="4"/>
        <v>6.2833333333333323</v>
      </c>
      <c r="I5" s="7">
        <f t="shared" si="5"/>
        <v>0</v>
      </c>
      <c r="J5">
        <f t="shared" si="1"/>
        <v>235.62499999999997</v>
      </c>
      <c r="K5">
        <f t="shared" si="2"/>
        <v>0</v>
      </c>
      <c r="L5">
        <f t="shared" si="3"/>
        <v>235.62499999999997</v>
      </c>
    </row>
    <row r="6" spans="1:12" x14ac:dyDescent="0.3">
      <c r="A6" t="s">
        <v>106</v>
      </c>
      <c r="B6" s="2" t="s">
        <v>19</v>
      </c>
      <c r="C6" s="4" t="s">
        <v>193</v>
      </c>
      <c r="D6" s="23" t="s">
        <v>140</v>
      </c>
      <c r="E6" s="23" t="s">
        <v>57</v>
      </c>
      <c r="F6">
        <v>37.5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300</v>
      </c>
      <c r="K6">
        <f t="shared" si="2"/>
        <v>135</v>
      </c>
      <c r="L6">
        <f t="shared" si="3"/>
        <v>435</v>
      </c>
    </row>
    <row r="7" spans="1:12" x14ac:dyDescent="0.3">
      <c r="A7" t="s">
        <v>106</v>
      </c>
      <c r="B7" s="2" t="s">
        <v>19</v>
      </c>
      <c r="C7" s="4" t="s">
        <v>194</v>
      </c>
      <c r="D7" s="23" t="s">
        <v>62</v>
      </c>
      <c r="E7" s="23" t="s">
        <v>164</v>
      </c>
      <c r="F7">
        <v>37.5</v>
      </c>
      <c r="G7">
        <f t="shared" si="0"/>
        <v>12.416666666666668</v>
      </c>
      <c r="H7">
        <f t="shared" si="4"/>
        <v>8</v>
      </c>
      <c r="I7" s="7">
        <f t="shared" si="5"/>
        <v>3.4166666666666679</v>
      </c>
      <c r="J7">
        <f t="shared" si="1"/>
        <v>300</v>
      </c>
      <c r="K7">
        <f t="shared" si="2"/>
        <v>153.75000000000006</v>
      </c>
      <c r="L7">
        <f t="shared" si="3"/>
        <v>453.75000000000006</v>
      </c>
    </row>
    <row r="8" spans="1:12" x14ac:dyDescent="0.3">
      <c r="A8" t="s">
        <v>106</v>
      </c>
      <c r="B8" s="2" t="s">
        <v>19</v>
      </c>
      <c r="C8" s="4" t="s">
        <v>195</v>
      </c>
      <c r="D8" s="23" t="s">
        <v>140</v>
      </c>
      <c r="E8" s="23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 x14ac:dyDescent="0.3">
      <c r="A9" t="s">
        <v>106</v>
      </c>
      <c r="B9" s="2" t="s">
        <v>19</v>
      </c>
      <c r="C9" s="4" t="s">
        <v>196</v>
      </c>
      <c r="D9" s="23" t="s">
        <v>140</v>
      </c>
      <c r="E9" s="23" t="s">
        <v>57</v>
      </c>
      <c r="F9">
        <v>37.5</v>
      </c>
      <c r="G9">
        <f t="shared" ref="G9:G16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6" si="7">H9*F9</f>
        <v>300</v>
      </c>
      <c r="K9">
        <f t="shared" ref="K9:K16" si="8">I9*F9*1.2</f>
        <v>135</v>
      </c>
      <c r="L9">
        <f t="shared" ref="L9:L16" si="9">J9+K9</f>
        <v>435</v>
      </c>
    </row>
    <row r="10" spans="1:12" x14ac:dyDescent="0.3">
      <c r="A10" t="s">
        <v>106</v>
      </c>
      <c r="B10" s="2" t="s">
        <v>19</v>
      </c>
      <c r="C10" s="4" t="s">
        <v>197</v>
      </c>
      <c r="D10" s="23" t="s">
        <v>121</v>
      </c>
      <c r="E10" s="23" t="s">
        <v>57</v>
      </c>
      <c r="F10">
        <v>37.5</v>
      </c>
      <c r="G10">
        <f t="shared" si="6"/>
        <v>13.000000000000002</v>
      </c>
      <c r="H10">
        <f t="shared" ref="H10:H16" si="10">MIN(G10,8)</f>
        <v>8</v>
      </c>
      <c r="I10" s="7">
        <f t="shared" ref="I10:I16" si="11">IF(MAX(G10-8,0) - 1 &lt; 0, 0, MAX(G10-8,0) - 1)</f>
        <v>4.0000000000000018</v>
      </c>
      <c r="J10">
        <f t="shared" si="7"/>
        <v>300</v>
      </c>
      <c r="K10">
        <f t="shared" si="8"/>
        <v>180.00000000000006</v>
      </c>
      <c r="L10">
        <f t="shared" si="9"/>
        <v>480.00000000000006</v>
      </c>
    </row>
    <row r="11" spans="1:12" x14ac:dyDescent="0.3">
      <c r="A11" t="s">
        <v>106</v>
      </c>
      <c r="B11" s="2" t="s">
        <v>19</v>
      </c>
      <c r="C11" s="4" t="s">
        <v>198</v>
      </c>
      <c r="D11" s="23" t="s">
        <v>121</v>
      </c>
      <c r="E11" s="23" t="s">
        <v>57</v>
      </c>
      <c r="F11">
        <v>37.5</v>
      </c>
      <c r="G11">
        <f t="shared" si="6"/>
        <v>13.000000000000002</v>
      </c>
      <c r="H11">
        <f t="shared" si="10"/>
        <v>8</v>
      </c>
      <c r="I11" s="7">
        <f t="shared" si="11"/>
        <v>4.0000000000000018</v>
      </c>
      <c r="J11">
        <f t="shared" si="7"/>
        <v>300</v>
      </c>
      <c r="K11">
        <f t="shared" si="8"/>
        <v>180.00000000000006</v>
      </c>
      <c r="L11">
        <f t="shared" si="9"/>
        <v>480.00000000000006</v>
      </c>
    </row>
    <row r="12" spans="1:12" x14ac:dyDescent="0.3">
      <c r="A12" t="s">
        <v>106</v>
      </c>
      <c r="B12" s="2" t="s">
        <v>19</v>
      </c>
      <c r="C12" s="4" t="s">
        <v>199</v>
      </c>
      <c r="D12" s="23" t="s">
        <v>31</v>
      </c>
      <c r="E12" s="23" t="s">
        <v>31</v>
      </c>
      <c r="F12">
        <v>37.5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 x14ac:dyDescent="0.3">
      <c r="A13" t="s">
        <v>106</v>
      </c>
      <c r="B13" s="2" t="s">
        <v>19</v>
      </c>
      <c r="C13" s="4" t="s">
        <v>200</v>
      </c>
      <c r="D13" s="23" t="s">
        <v>140</v>
      </c>
      <c r="E13" s="23" t="s">
        <v>57</v>
      </c>
      <c r="F13">
        <v>37.5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300</v>
      </c>
      <c r="K13">
        <f t="shared" si="8"/>
        <v>135</v>
      </c>
      <c r="L13">
        <f t="shared" si="9"/>
        <v>435</v>
      </c>
    </row>
    <row r="14" spans="1:12" x14ac:dyDescent="0.3">
      <c r="A14" t="s">
        <v>106</v>
      </c>
      <c r="B14" s="2" t="s">
        <v>19</v>
      </c>
      <c r="C14" s="4" t="s">
        <v>201</v>
      </c>
      <c r="D14" s="23" t="s">
        <v>31</v>
      </c>
      <c r="E14" s="23" t="s">
        <v>31</v>
      </c>
      <c r="F14">
        <v>37.5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x14ac:dyDescent="0.3">
      <c r="A15" t="s">
        <v>106</v>
      </c>
      <c r="B15" s="2" t="s">
        <v>19</v>
      </c>
      <c r="C15" s="4" t="s">
        <v>202</v>
      </c>
      <c r="D15" s="23" t="s">
        <v>140</v>
      </c>
      <c r="E15" s="23" t="s">
        <v>60</v>
      </c>
      <c r="F15">
        <v>37.5</v>
      </c>
      <c r="G15">
        <f t="shared" si="6"/>
        <v>8</v>
      </c>
      <c r="H15">
        <f t="shared" si="10"/>
        <v>8</v>
      </c>
      <c r="I15" s="7">
        <f t="shared" si="11"/>
        <v>0</v>
      </c>
      <c r="J15">
        <f t="shared" si="7"/>
        <v>300</v>
      </c>
      <c r="K15">
        <f t="shared" si="8"/>
        <v>0</v>
      </c>
      <c r="L15">
        <f t="shared" si="9"/>
        <v>300</v>
      </c>
    </row>
    <row r="16" spans="1:12" x14ac:dyDescent="0.3">
      <c r="A16" t="s">
        <v>106</v>
      </c>
      <c r="B16" s="2" t="s">
        <v>19</v>
      </c>
      <c r="C16" s="4" t="s">
        <v>203</v>
      </c>
      <c r="D16" s="23" t="s">
        <v>140</v>
      </c>
      <c r="E16" s="23" t="s">
        <v>57</v>
      </c>
      <c r="F16">
        <v>37.5</v>
      </c>
      <c r="G16">
        <f t="shared" si="6"/>
        <v>12</v>
      </c>
      <c r="H16">
        <f t="shared" si="10"/>
        <v>8</v>
      </c>
      <c r="I16" s="7">
        <f t="shared" si="11"/>
        <v>3</v>
      </c>
      <c r="J16">
        <f t="shared" si="7"/>
        <v>300</v>
      </c>
      <c r="K16">
        <f t="shared" si="8"/>
        <v>135</v>
      </c>
      <c r="L16">
        <f t="shared" si="9"/>
        <v>435</v>
      </c>
    </row>
    <row r="21" spans="1:4" x14ac:dyDescent="0.3">
      <c r="A21" s="6" t="s">
        <v>34</v>
      </c>
      <c r="B21" s="6" t="s">
        <v>35</v>
      </c>
      <c r="C21" s="6" t="s">
        <v>36</v>
      </c>
      <c r="D21" s="6" t="s">
        <v>37</v>
      </c>
    </row>
    <row r="22" spans="1:4" x14ac:dyDescent="0.3">
      <c r="A22" t="s">
        <v>106</v>
      </c>
      <c r="B22" s="8">
        <f>SUM(J2:J20)</f>
        <v>3535.625</v>
      </c>
      <c r="C22" s="8">
        <f>SUM(K2:K20)</f>
        <v>1466.25</v>
      </c>
      <c r="D22" s="8">
        <f>SUM(L2:L20)</f>
        <v>5001.875</v>
      </c>
    </row>
    <row r="29" spans="1:4" ht="21.6" customHeight="1" x14ac:dyDescent="0.3"/>
    <row r="30" spans="1:4" ht="17.399999999999999" x14ac:dyDescent="0.3">
      <c r="A30" s="34" t="s">
        <v>39</v>
      </c>
      <c r="B30" s="34"/>
      <c r="C30" s="15"/>
      <c r="D30" s="9"/>
    </row>
    <row r="31" spans="1:4" x14ac:dyDescent="0.3">
      <c r="A31" s="10" t="s">
        <v>40</v>
      </c>
      <c r="B31" s="11" t="str">
        <f>A2</f>
        <v>Micky</v>
      </c>
      <c r="C31" s="16"/>
    </row>
    <row r="32" spans="1:4" x14ac:dyDescent="0.3">
      <c r="A32" s="10" t="s">
        <v>41</v>
      </c>
      <c r="B32" s="11" t="s">
        <v>55</v>
      </c>
      <c r="C32" s="16"/>
    </row>
    <row r="33" spans="1:3" x14ac:dyDescent="0.3">
      <c r="A33" s="10" t="s">
        <v>42</v>
      </c>
      <c r="B33" s="12">
        <f>C16+5</f>
        <v>46208</v>
      </c>
      <c r="C33" s="16"/>
    </row>
    <row r="34" spans="1:3" x14ac:dyDescent="0.3">
      <c r="A34" s="10" t="s">
        <v>50</v>
      </c>
      <c r="B34" s="10" t="str">
        <f>Kent!B34</f>
        <v>Jun-16 to Jun-30, 2026</v>
      </c>
      <c r="C34" s="16"/>
    </row>
    <row r="35" spans="1:3" x14ac:dyDescent="0.3">
      <c r="A35" s="10" t="s">
        <v>63</v>
      </c>
      <c r="B35" s="10">
        <f>COUNTIF(D2:D16, "*:*")</f>
        <v>12</v>
      </c>
      <c r="C35" s="16"/>
    </row>
    <row r="36" spans="1:3" x14ac:dyDescent="0.3">
      <c r="A36" s="13" t="s">
        <v>53</v>
      </c>
      <c r="B36" s="10"/>
      <c r="C36" s="17"/>
    </row>
    <row r="37" spans="1:3" x14ac:dyDescent="0.3">
      <c r="A37" s="10" t="s">
        <v>44</v>
      </c>
      <c r="B37" s="14">
        <f>B22</f>
        <v>3535.625</v>
      </c>
      <c r="C37" s="16"/>
    </row>
    <row r="38" spans="1:3" x14ac:dyDescent="0.3">
      <c r="A38" s="10" t="s">
        <v>43</v>
      </c>
      <c r="B38" s="14">
        <v>0</v>
      </c>
      <c r="C38" s="16"/>
    </row>
    <row r="39" spans="1:3" x14ac:dyDescent="0.3">
      <c r="A39" s="10" t="s">
        <v>6</v>
      </c>
      <c r="B39" s="14">
        <f>C22</f>
        <v>1466.25</v>
      </c>
      <c r="C39" s="16"/>
    </row>
    <row r="40" spans="1:3" x14ac:dyDescent="0.3">
      <c r="A40" s="10" t="s">
        <v>45</v>
      </c>
      <c r="B40" s="14">
        <v>0</v>
      </c>
      <c r="C40" s="16"/>
    </row>
    <row r="41" spans="1:3" x14ac:dyDescent="0.3">
      <c r="A41" s="10"/>
      <c r="B41" s="14"/>
      <c r="C41" s="16"/>
    </row>
    <row r="42" spans="1:3" x14ac:dyDescent="0.3">
      <c r="A42" s="10"/>
      <c r="B42" s="14"/>
      <c r="C42" s="16"/>
    </row>
    <row r="43" spans="1:3" x14ac:dyDescent="0.3">
      <c r="A43" s="10" t="s">
        <v>46</v>
      </c>
      <c r="B43" s="14">
        <f>D22</f>
        <v>5001.875</v>
      </c>
      <c r="C43" s="16"/>
    </row>
    <row r="44" spans="1:3" x14ac:dyDescent="0.3">
      <c r="A44" s="10" t="s">
        <v>47</v>
      </c>
      <c r="B44" s="14">
        <v>0</v>
      </c>
      <c r="C44" s="16"/>
    </row>
    <row r="45" spans="1:3" x14ac:dyDescent="0.3">
      <c r="A45" s="10" t="s">
        <v>52</v>
      </c>
      <c r="B45" s="14">
        <v>0</v>
      </c>
      <c r="C45" s="16"/>
    </row>
    <row r="46" spans="1:3" x14ac:dyDescent="0.3">
      <c r="A46" s="10"/>
      <c r="B46" s="14"/>
      <c r="C46" s="16"/>
    </row>
    <row r="47" spans="1:3" x14ac:dyDescent="0.3">
      <c r="A47" s="13" t="s">
        <v>48</v>
      </c>
      <c r="B47" s="14">
        <f>SUM(B43:B45)</f>
        <v>5001.875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9"/>
  <sheetViews>
    <sheetView topLeftCell="A25" workbookViewId="0">
      <selection activeCell="B49" sqref="A30:B49"/>
    </sheetView>
  </sheetViews>
  <sheetFormatPr defaultColWidth="15.44140625" defaultRowHeight="14.4" x14ac:dyDescent="0.3"/>
  <cols>
    <col min="1" max="1" width="15.664062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93</v>
      </c>
      <c r="B2" s="2" t="s">
        <v>18</v>
      </c>
      <c r="C2" s="4" t="s">
        <v>189</v>
      </c>
      <c r="D2" s="23" t="s">
        <v>62</v>
      </c>
      <c r="E2" s="23" t="s">
        <v>57</v>
      </c>
      <c r="F2">
        <v>43.75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 s="7">
        <f t="shared" ref="J2:J8" si="1">H2*F2</f>
        <v>350</v>
      </c>
      <c r="K2" s="7">
        <f t="shared" ref="K2:K8" si="2">I2*F2*1.2</f>
        <v>157.5</v>
      </c>
      <c r="L2" s="7">
        <f t="shared" ref="L2:L8" si="3">J2+K2</f>
        <v>507.5</v>
      </c>
    </row>
    <row r="3" spans="1:12" x14ac:dyDescent="0.3">
      <c r="A3" t="s">
        <v>93</v>
      </c>
      <c r="B3" s="2" t="s">
        <v>18</v>
      </c>
      <c r="C3" s="4" t="s">
        <v>190</v>
      </c>
      <c r="D3" s="23" t="s">
        <v>62</v>
      </c>
      <c r="E3" s="23" t="s">
        <v>57</v>
      </c>
      <c r="F3">
        <v>43.75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350</v>
      </c>
      <c r="K3" s="7">
        <f t="shared" si="2"/>
        <v>157.5</v>
      </c>
      <c r="L3" s="7">
        <f t="shared" si="3"/>
        <v>507.5</v>
      </c>
    </row>
    <row r="4" spans="1:12" x14ac:dyDescent="0.3">
      <c r="A4" t="s">
        <v>93</v>
      </c>
      <c r="B4" s="2" t="s">
        <v>18</v>
      </c>
      <c r="C4" s="4" t="s">
        <v>191</v>
      </c>
      <c r="D4" s="23" t="s">
        <v>217</v>
      </c>
      <c r="E4" s="23" t="s">
        <v>57</v>
      </c>
      <c r="F4">
        <v>43.75</v>
      </c>
      <c r="G4">
        <f t="shared" si="0"/>
        <v>11.683333333333334</v>
      </c>
      <c r="H4">
        <f t="shared" si="4"/>
        <v>8</v>
      </c>
      <c r="I4" s="7">
        <f t="shared" si="5"/>
        <v>2.6833333333333336</v>
      </c>
      <c r="J4" s="7">
        <f t="shared" si="1"/>
        <v>350</v>
      </c>
      <c r="K4" s="7">
        <f t="shared" si="2"/>
        <v>140.875</v>
      </c>
      <c r="L4" s="7">
        <f t="shared" si="3"/>
        <v>490.875</v>
      </c>
    </row>
    <row r="5" spans="1:12" x14ac:dyDescent="0.3">
      <c r="A5" t="s">
        <v>93</v>
      </c>
      <c r="B5" s="2" t="s">
        <v>18</v>
      </c>
      <c r="C5" s="4" t="s">
        <v>192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350</v>
      </c>
      <c r="K5" s="7">
        <f t="shared" si="2"/>
        <v>157.5</v>
      </c>
      <c r="L5" s="7">
        <f t="shared" si="3"/>
        <v>507.5</v>
      </c>
    </row>
    <row r="6" spans="1:12" x14ac:dyDescent="0.3">
      <c r="A6" t="s">
        <v>93</v>
      </c>
      <c r="B6" s="2" t="s">
        <v>18</v>
      </c>
      <c r="C6" s="4" t="s">
        <v>193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 s="7">
        <f t="shared" si="1"/>
        <v>350</v>
      </c>
      <c r="K6" s="7">
        <f t="shared" si="2"/>
        <v>157.5</v>
      </c>
      <c r="L6" s="7">
        <f t="shared" si="3"/>
        <v>507.5</v>
      </c>
    </row>
    <row r="7" spans="1:12" x14ac:dyDescent="0.3">
      <c r="A7" t="s">
        <v>93</v>
      </c>
      <c r="B7" s="2" t="s">
        <v>18</v>
      </c>
      <c r="C7" s="4" t="s">
        <v>194</v>
      </c>
      <c r="D7" s="23" t="s">
        <v>62</v>
      </c>
      <c r="E7" s="23" t="s">
        <v>57</v>
      </c>
      <c r="F7">
        <v>43.75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350</v>
      </c>
      <c r="K7" s="7">
        <f t="shared" si="2"/>
        <v>157.5</v>
      </c>
      <c r="L7" s="7">
        <f t="shared" si="3"/>
        <v>507.5</v>
      </c>
    </row>
    <row r="8" spans="1:12" x14ac:dyDescent="0.3">
      <c r="A8" t="s">
        <v>93</v>
      </c>
      <c r="B8" s="2" t="s">
        <v>18</v>
      </c>
      <c r="C8" s="4" t="s">
        <v>195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 x14ac:dyDescent="0.3">
      <c r="A9" t="s">
        <v>93</v>
      </c>
      <c r="B9" s="2" t="s">
        <v>18</v>
      </c>
      <c r="C9" s="4" t="s">
        <v>196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 s="7">
        <f t="shared" ref="J9:J15" si="7">H9*F9</f>
        <v>350</v>
      </c>
      <c r="K9" s="7">
        <f t="shared" ref="K9:K15" si="8">I9*F9*1.2</f>
        <v>157.5</v>
      </c>
      <c r="L9" s="7">
        <f t="shared" ref="L9:L15" si="9">J9+K9</f>
        <v>507.5</v>
      </c>
    </row>
    <row r="10" spans="1:12" x14ac:dyDescent="0.3">
      <c r="A10" t="s">
        <v>93</v>
      </c>
      <c r="B10" s="2" t="s">
        <v>18</v>
      </c>
      <c r="C10" s="4" t="s">
        <v>197</v>
      </c>
      <c r="D10" s="23" t="s">
        <v>31</v>
      </c>
      <c r="E10" s="23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 x14ac:dyDescent="0.3">
      <c r="A11" t="s">
        <v>93</v>
      </c>
      <c r="B11" s="2" t="s">
        <v>18</v>
      </c>
      <c r="C11" s="4" t="s">
        <v>198</v>
      </c>
      <c r="D11" s="23" t="s">
        <v>96</v>
      </c>
      <c r="E11" s="23" t="s">
        <v>57</v>
      </c>
      <c r="F11">
        <v>43.75</v>
      </c>
      <c r="G11">
        <f t="shared" si="6"/>
        <v>11</v>
      </c>
      <c r="H11">
        <f t="shared" si="10"/>
        <v>8</v>
      </c>
      <c r="I11" s="7">
        <f t="shared" si="11"/>
        <v>2</v>
      </c>
      <c r="J11" s="7">
        <f t="shared" si="7"/>
        <v>350</v>
      </c>
      <c r="K11" s="7">
        <f t="shared" si="8"/>
        <v>105</v>
      </c>
      <c r="L11" s="7">
        <f t="shared" si="9"/>
        <v>455</v>
      </c>
    </row>
    <row r="12" spans="1:12" x14ac:dyDescent="0.3">
      <c r="A12" t="s">
        <v>93</v>
      </c>
      <c r="B12" s="2" t="s">
        <v>18</v>
      </c>
      <c r="C12" s="4" t="s">
        <v>199</v>
      </c>
      <c r="D12" s="23" t="s">
        <v>31</v>
      </c>
      <c r="E12" s="23" t="s">
        <v>31</v>
      </c>
      <c r="F12">
        <v>43.75</v>
      </c>
      <c r="G12">
        <f t="shared" si="6"/>
        <v>0</v>
      </c>
      <c r="H12">
        <f t="shared" si="10"/>
        <v>0</v>
      </c>
      <c r="I12" s="7">
        <f t="shared" si="11"/>
        <v>0</v>
      </c>
      <c r="J12" s="7">
        <f t="shared" si="7"/>
        <v>0</v>
      </c>
      <c r="K12" s="7">
        <f t="shared" si="8"/>
        <v>0</v>
      </c>
      <c r="L12" s="7">
        <f t="shared" si="9"/>
        <v>0</v>
      </c>
    </row>
    <row r="13" spans="1:12" x14ac:dyDescent="0.3">
      <c r="A13" t="s">
        <v>93</v>
      </c>
      <c r="B13" s="2" t="s">
        <v>18</v>
      </c>
      <c r="C13" s="4" t="s">
        <v>200</v>
      </c>
      <c r="D13" s="23" t="s">
        <v>62</v>
      </c>
      <c r="E13" s="23" t="s">
        <v>164</v>
      </c>
      <c r="F13">
        <v>43.75</v>
      </c>
      <c r="G13">
        <f t="shared" si="6"/>
        <v>12.416666666666668</v>
      </c>
      <c r="H13">
        <f t="shared" si="10"/>
        <v>8</v>
      </c>
      <c r="I13" s="7">
        <f t="shared" si="11"/>
        <v>3.4166666666666679</v>
      </c>
      <c r="J13" s="7">
        <f t="shared" si="7"/>
        <v>350</v>
      </c>
      <c r="K13" s="7">
        <f t="shared" si="8"/>
        <v>179.37500000000006</v>
      </c>
      <c r="L13" s="7">
        <f t="shared" si="9"/>
        <v>529.375</v>
      </c>
    </row>
    <row r="14" spans="1:12" x14ac:dyDescent="0.3">
      <c r="A14" t="s">
        <v>93</v>
      </c>
      <c r="B14" s="2" t="s">
        <v>18</v>
      </c>
      <c r="C14" s="4" t="s">
        <v>201</v>
      </c>
      <c r="D14" s="23" t="s">
        <v>31</v>
      </c>
      <c r="E14" s="23" t="s">
        <v>31</v>
      </c>
      <c r="F14">
        <v>43.75</v>
      </c>
      <c r="G14">
        <f t="shared" si="6"/>
        <v>0</v>
      </c>
      <c r="H14">
        <f t="shared" si="10"/>
        <v>0</v>
      </c>
      <c r="I14" s="7">
        <f t="shared" si="11"/>
        <v>0</v>
      </c>
      <c r="J14" s="7">
        <f t="shared" si="7"/>
        <v>0</v>
      </c>
      <c r="K14" s="7">
        <f t="shared" si="8"/>
        <v>0</v>
      </c>
      <c r="L14" s="7">
        <f t="shared" si="9"/>
        <v>0</v>
      </c>
    </row>
    <row r="15" spans="1:12" x14ac:dyDescent="0.3">
      <c r="A15" t="s">
        <v>93</v>
      </c>
      <c r="B15" s="2" t="s">
        <v>18</v>
      </c>
      <c r="C15" s="4" t="s">
        <v>202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 x14ac:dyDescent="0.3">
      <c r="A16" t="s">
        <v>93</v>
      </c>
      <c r="B16" s="2" t="s">
        <v>18</v>
      </c>
      <c r="C16" s="4" t="s">
        <v>203</v>
      </c>
      <c r="D16" s="23" t="s">
        <v>31</v>
      </c>
      <c r="E16" s="23" t="s">
        <v>31</v>
      </c>
      <c r="F16">
        <v>43.75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21" spans="1:4" x14ac:dyDescent="0.3">
      <c r="A21" s="6" t="s">
        <v>34</v>
      </c>
      <c r="B21" s="6" t="s">
        <v>35</v>
      </c>
      <c r="C21" s="6" t="s">
        <v>36</v>
      </c>
      <c r="D21" s="6" t="s">
        <v>37</v>
      </c>
    </row>
    <row r="22" spans="1:4" x14ac:dyDescent="0.3">
      <c r="A22" t="s">
        <v>93</v>
      </c>
      <c r="B22" s="8">
        <f>SUM(J2:J20)</f>
        <v>3150</v>
      </c>
      <c r="C22" s="8">
        <f>SUM(K2:K20)</f>
        <v>1370.25</v>
      </c>
      <c r="D22" s="8">
        <f>SUM(L2:L20)</f>
        <v>4520.25</v>
      </c>
    </row>
    <row r="30" spans="1:4" ht="21.6" customHeight="1" x14ac:dyDescent="0.3">
      <c r="A30" s="34" t="s">
        <v>39</v>
      </c>
      <c r="B30" s="34"/>
      <c r="C30" s="15"/>
      <c r="D30" s="9"/>
    </row>
    <row r="31" spans="1:4" x14ac:dyDescent="0.3">
      <c r="A31" s="10" t="s">
        <v>40</v>
      </c>
      <c r="B31" s="11" t="s">
        <v>93</v>
      </c>
      <c r="C31" s="16"/>
    </row>
    <row r="32" spans="1:4" x14ac:dyDescent="0.3">
      <c r="A32" s="10" t="s">
        <v>41</v>
      </c>
      <c r="B32" s="11" t="s">
        <v>95</v>
      </c>
      <c r="C32" s="16"/>
    </row>
    <row r="33" spans="1:3" x14ac:dyDescent="0.3">
      <c r="A33" s="10" t="s">
        <v>42</v>
      </c>
      <c r="B33" s="12">
        <f>C16+5</f>
        <v>46208</v>
      </c>
      <c r="C33" s="16"/>
    </row>
    <row r="34" spans="1:3" x14ac:dyDescent="0.3">
      <c r="A34" s="10" t="s">
        <v>50</v>
      </c>
      <c r="B34" s="10" t="s">
        <v>253</v>
      </c>
      <c r="C34" s="16"/>
    </row>
    <row r="35" spans="1:3" x14ac:dyDescent="0.3">
      <c r="A35" s="10" t="s">
        <v>63</v>
      </c>
      <c r="B35" s="10">
        <f>COUNTIF(D2:D16, "*:*")</f>
        <v>9</v>
      </c>
      <c r="C35" s="16"/>
    </row>
    <row r="36" spans="1:3" x14ac:dyDescent="0.3">
      <c r="A36" s="13" t="s">
        <v>53</v>
      </c>
      <c r="B36" s="10"/>
      <c r="C36" s="17"/>
    </row>
    <row r="37" spans="1:3" x14ac:dyDescent="0.3">
      <c r="A37" s="10" t="s">
        <v>44</v>
      </c>
      <c r="B37" s="14">
        <f>B22</f>
        <v>3150</v>
      </c>
      <c r="C37" s="16"/>
    </row>
    <row r="38" spans="1:3" x14ac:dyDescent="0.3">
      <c r="A38" s="10" t="s">
        <v>43</v>
      </c>
      <c r="B38" s="14">
        <v>0</v>
      </c>
      <c r="C38" s="16"/>
    </row>
    <row r="39" spans="1:3" x14ac:dyDescent="0.3">
      <c r="A39" s="10" t="s">
        <v>6</v>
      </c>
      <c r="B39" s="14">
        <f>C22</f>
        <v>1370.25</v>
      </c>
      <c r="C39" s="16"/>
    </row>
    <row r="40" spans="1:3" x14ac:dyDescent="0.3">
      <c r="A40" s="10" t="s">
        <v>45</v>
      </c>
      <c r="B40" s="14">
        <v>0</v>
      </c>
      <c r="C40" s="16"/>
    </row>
    <row r="41" spans="1:3" x14ac:dyDescent="0.3">
      <c r="A41" s="10"/>
      <c r="B41" s="14"/>
      <c r="C41" s="16"/>
    </row>
    <row r="42" spans="1:3" x14ac:dyDescent="0.3">
      <c r="A42" s="10"/>
      <c r="B42" s="14"/>
      <c r="C42" s="16"/>
    </row>
    <row r="43" spans="1:3" x14ac:dyDescent="0.3">
      <c r="A43" s="10" t="s">
        <v>46</v>
      </c>
      <c r="B43" s="14">
        <f>D22</f>
        <v>4520.25</v>
      </c>
      <c r="C43" s="16"/>
    </row>
    <row r="44" spans="1:3" x14ac:dyDescent="0.3">
      <c r="A44" s="10" t="s">
        <v>47</v>
      </c>
      <c r="B44" s="14"/>
      <c r="C44" s="16"/>
    </row>
    <row r="45" spans="1:3" x14ac:dyDescent="0.3">
      <c r="A45" s="10" t="s">
        <v>249</v>
      </c>
      <c r="B45" s="14">
        <v>-200</v>
      </c>
      <c r="C45" s="16"/>
    </row>
    <row r="46" spans="1:3" x14ac:dyDescent="0.3">
      <c r="A46" s="10" t="s">
        <v>250</v>
      </c>
      <c r="B46" s="14">
        <v>-145</v>
      </c>
      <c r="C46" s="16"/>
    </row>
    <row r="47" spans="1:3" x14ac:dyDescent="0.3">
      <c r="A47" s="10" t="s">
        <v>251</v>
      </c>
      <c r="B47" s="14">
        <v>-1750</v>
      </c>
      <c r="C47" s="16"/>
    </row>
    <row r="48" spans="1:3" x14ac:dyDescent="0.3">
      <c r="A48" s="10" t="s">
        <v>252</v>
      </c>
      <c r="B48" s="37">
        <v>-300</v>
      </c>
      <c r="C48" s="16"/>
    </row>
    <row r="49" spans="1:3" x14ac:dyDescent="0.3">
      <c r="A49" s="13" t="s">
        <v>48</v>
      </c>
      <c r="B49" s="14">
        <f>SUM(B43:B48)</f>
        <v>2125.25</v>
      </c>
      <c r="C49" s="16"/>
    </row>
  </sheetData>
  <mergeCells count="1">
    <mergeCell ref="A30:B30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8"/>
  <sheetViews>
    <sheetView workbookViewId="0">
      <selection activeCell="H16" sqref="H2:H16"/>
    </sheetView>
  </sheetViews>
  <sheetFormatPr defaultColWidth="15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239</v>
      </c>
      <c r="B2" s="2" t="s">
        <v>84</v>
      </c>
      <c r="C2" s="4" t="s">
        <v>189</v>
      </c>
      <c r="D2" s="23" t="s">
        <v>31</v>
      </c>
      <c r="E2" s="23" t="s">
        <v>31</v>
      </c>
      <c r="F2">
        <v>31.25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239</v>
      </c>
      <c r="B3" s="2" t="s">
        <v>84</v>
      </c>
      <c r="C3" s="4" t="s">
        <v>190</v>
      </c>
      <c r="D3" s="23" t="s">
        <v>31</v>
      </c>
      <c r="E3" s="23" t="s">
        <v>31</v>
      </c>
      <c r="F3">
        <v>31.25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239</v>
      </c>
      <c r="B4" s="2" t="s">
        <v>84</v>
      </c>
      <c r="C4" s="4" t="s">
        <v>191</v>
      </c>
      <c r="D4" s="23" t="s">
        <v>140</v>
      </c>
      <c r="E4" s="23" t="s">
        <v>57</v>
      </c>
      <c r="F4">
        <v>31.25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250</v>
      </c>
      <c r="K4">
        <f t="shared" si="2"/>
        <v>112.5</v>
      </c>
      <c r="L4">
        <f t="shared" si="3"/>
        <v>362.5</v>
      </c>
    </row>
    <row r="5" spans="1:12" x14ac:dyDescent="0.3">
      <c r="A5" t="s">
        <v>239</v>
      </c>
      <c r="B5" s="2" t="s">
        <v>84</v>
      </c>
      <c r="C5" s="4" t="s">
        <v>192</v>
      </c>
      <c r="D5" s="23" t="s">
        <v>140</v>
      </c>
      <c r="E5" s="23" t="s">
        <v>240</v>
      </c>
      <c r="F5">
        <v>31.25</v>
      </c>
      <c r="G5">
        <f t="shared" si="0"/>
        <v>12.166666666666666</v>
      </c>
      <c r="H5">
        <f t="shared" si="4"/>
        <v>8</v>
      </c>
      <c r="I5" s="7">
        <f t="shared" si="5"/>
        <v>3.1666666666666661</v>
      </c>
      <c r="J5">
        <f t="shared" si="1"/>
        <v>250</v>
      </c>
      <c r="K5">
        <f t="shared" si="2"/>
        <v>118.74999999999997</v>
      </c>
      <c r="L5">
        <f t="shared" si="3"/>
        <v>368.75</v>
      </c>
    </row>
    <row r="6" spans="1:12" x14ac:dyDescent="0.3">
      <c r="A6" t="s">
        <v>239</v>
      </c>
      <c r="B6" s="2" t="s">
        <v>84</v>
      </c>
      <c r="C6" s="4" t="s">
        <v>193</v>
      </c>
      <c r="D6" s="23" t="s">
        <v>140</v>
      </c>
      <c r="E6" s="23" t="s">
        <v>219</v>
      </c>
      <c r="F6">
        <v>31.25</v>
      </c>
      <c r="G6">
        <f t="shared" si="0"/>
        <v>12.083333333333332</v>
      </c>
      <c r="H6">
        <f t="shared" si="4"/>
        <v>8</v>
      </c>
      <c r="I6" s="7">
        <f t="shared" si="5"/>
        <v>3.0833333333333321</v>
      </c>
      <c r="J6">
        <f t="shared" si="1"/>
        <v>250</v>
      </c>
      <c r="K6">
        <f t="shared" si="2"/>
        <v>115.62499999999994</v>
      </c>
      <c r="L6">
        <f t="shared" si="3"/>
        <v>365.62499999999994</v>
      </c>
    </row>
    <row r="7" spans="1:12" x14ac:dyDescent="0.3">
      <c r="A7" t="s">
        <v>239</v>
      </c>
      <c r="B7" s="2" t="s">
        <v>84</v>
      </c>
      <c r="C7" s="4" t="s">
        <v>194</v>
      </c>
      <c r="D7" s="23" t="s">
        <v>140</v>
      </c>
      <c r="E7" s="23" t="s">
        <v>57</v>
      </c>
      <c r="F7">
        <v>31.25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250</v>
      </c>
      <c r="K7">
        <f t="shared" si="2"/>
        <v>112.5</v>
      </c>
      <c r="L7">
        <f t="shared" si="3"/>
        <v>362.5</v>
      </c>
    </row>
    <row r="8" spans="1:12" x14ac:dyDescent="0.3">
      <c r="A8" t="s">
        <v>239</v>
      </c>
      <c r="B8" s="2" t="s">
        <v>84</v>
      </c>
      <c r="C8" s="4" t="s">
        <v>195</v>
      </c>
      <c r="D8" s="23" t="s">
        <v>140</v>
      </c>
      <c r="E8" s="23" t="s">
        <v>57</v>
      </c>
      <c r="F8">
        <v>31.25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250</v>
      </c>
      <c r="K8">
        <f t="shared" si="2"/>
        <v>112.5</v>
      </c>
      <c r="L8">
        <f t="shared" si="3"/>
        <v>362.5</v>
      </c>
    </row>
    <row r="9" spans="1:12" x14ac:dyDescent="0.3">
      <c r="A9" t="s">
        <v>239</v>
      </c>
      <c r="B9" s="2" t="s">
        <v>84</v>
      </c>
      <c r="C9" s="4" t="s">
        <v>196</v>
      </c>
      <c r="D9" s="23" t="s">
        <v>140</v>
      </c>
      <c r="E9" s="23" t="s">
        <v>57</v>
      </c>
      <c r="F9">
        <v>31.25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250</v>
      </c>
      <c r="K9">
        <f t="shared" ref="K9:K15" si="8">I9*F9*1.2</f>
        <v>112.5</v>
      </c>
      <c r="L9">
        <f t="shared" ref="L9:L15" si="9">J9+K9</f>
        <v>362.5</v>
      </c>
    </row>
    <row r="10" spans="1:12" x14ac:dyDescent="0.3">
      <c r="A10" t="s">
        <v>239</v>
      </c>
      <c r="B10" s="2" t="s">
        <v>84</v>
      </c>
      <c r="C10" s="4" t="s">
        <v>197</v>
      </c>
      <c r="D10" s="23" t="s">
        <v>121</v>
      </c>
      <c r="E10" s="23" t="s">
        <v>57</v>
      </c>
      <c r="F10">
        <v>31.25</v>
      </c>
      <c r="G10">
        <f t="shared" si="6"/>
        <v>13.000000000000002</v>
      </c>
      <c r="H10">
        <f t="shared" ref="H10:H15" si="10">MIN(G10,8)</f>
        <v>8</v>
      </c>
      <c r="I10" s="7">
        <f t="shared" ref="I10:I15" si="11">IF(MAX(G10-8,0) - 1 &lt; 0, 0, MAX(G10-8,0) - 1)</f>
        <v>4.0000000000000018</v>
      </c>
      <c r="J10">
        <f t="shared" si="7"/>
        <v>250</v>
      </c>
      <c r="K10">
        <f t="shared" si="8"/>
        <v>150.00000000000006</v>
      </c>
      <c r="L10">
        <f t="shared" si="9"/>
        <v>400.00000000000006</v>
      </c>
    </row>
    <row r="11" spans="1:12" x14ac:dyDescent="0.3">
      <c r="A11" t="s">
        <v>239</v>
      </c>
      <c r="B11" s="2" t="s">
        <v>84</v>
      </c>
      <c r="C11" s="4" t="s">
        <v>198</v>
      </c>
      <c r="D11" s="23" t="s">
        <v>121</v>
      </c>
      <c r="E11" s="23" t="s">
        <v>57</v>
      </c>
      <c r="F11">
        <v>31.25</v>
      </c>
      <c r="G11">
        <f t="shared" si="6"/>
        <v>13.000000000000002</v>
      </c>
      <c r="H11">
        <f t="shared" si="10"/>
        <v>8</v>
      </c>
      <c r="I11" s="7">
        <f t="shared" si="11"/>
        <v>4.0000000000000018</v>
      </c>
      <c r="J11">
        <f t="shared" si="7"/>
        <v>250</v>
      </c>
      <c r="K11">
        <f t="shared" si="8"/>
        <v>150.00000000000006</v>
      </c>
      <c r="L11">
        <f t="shared" si="9"/>
        <v>400.00000000000006</v>
      </c>
    </row>
    <row r="12" spans="1:12" x14ac:dyDescent="0.3">
      <c r="A12" t="s">
        <v>239</v>
      </c>
      <c r="B12" s="2" t="s">
        <v>84</v>
      </c>
      <c r="C12" s="4" t="s">
        <v>199</v>
      </c>
      <c r="D12" s="23" t="s">
        <v>31</v>
      </c>
      <c r="E12" s="23" t="s">
        <v>31</v>
      </c>
      <c r="F12">
        <v>31.25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 x14ac:dyDescent="0.3">
      <c r="A13" t="s">
        <v>239</v>
      </c>
      <c r="B13" s="2" t="s">
        <v>84</v>
      </c>
      <c r="C13" s="4" t="s">
        <v>200</v>
      </c>
      <c r="D13" s="23" t="s">
        <v>140</v>
      </c>
      <c r="E13" s="23" t="s">
        <v>240</v>
      </c>
      <c r="F13">
        <v>31.25</v>
      </c>
      <c r="G13">
        <f t="shared" si="6"/>
        <v>12.166666666666666</v>
      </c>
      <c r="H13">
        <f t="shared" si="10"/>
        <v>8</v>
      </c>
      <c r="I13" s="7">
        <f t="shared" si="11"/>
        <v>3.1666666666666661</v>
      </c>
      <c r="J13">
        <f t="shared" si="7"/>
        <v>250</v>
      </c>
      <c r="K13">
        <f t="shared" si="8"/>
        <v>118.74999999999997</v>
      </c>
      <c r="L13">
        <f t="shared" si="9"/>
        <v>368.75</v>
      </c>
    </row>
    <row r="14" spans="1:12" x14ac:dyDescent="0.3">
      <c r="A14" t="s">
        <v>239</v>
      </c>
      <c r="B14" s="2" t="s">
        <v>84</v>
      </c>
      <c r="C14" s="4" t="s">
        <v>201</v>
      </c>
      <c r="D14" s="23" t="s">
        <v>60</v>
      </c>
      <c r="E14" s="23" t="s">
        <v>54</v>
      </c>
      <c r="F14">
        <v>31.25</v>
      </c>
      <c r="G14">
        <f t="shared" si="6"/>
        <v>4.5</v>
      </c>
      <c r="H14">
        <f t="shared" si="10"/>
        <v>4.5</v>
      </c>
      <c r="I14" s="7">
        <f t="shared" si="11"/>
        <v>0</v>
      </c>
      <c r="J14">
        <f t="shared" si="7"/>
        <v>140.625</v>
      </c>
      <c r="K14">
        <f t="shared" si="8"/>
        <v>0</v>
      </c>
      <c r="L14">
        <f t="shared" si="9"/>
        <v>140.625</v>
      </c>
    </row>
    <row r="15" spans="1:12" x14ac:dyDescent="0.3">
      <c r="A15" t="s">
        <v>239</v>
      </c>
      <c r="B15" s="2" t="s">
        <v>84</v>
      </c>
      <c r="C15" s="4" t="s">
        <v>202</v>
      </c>
      <c r="D15" s="23" t="s">
        <v>31</v>
      </c>
      <c r="E15" s="23" t="s">
        <v>31</v>
      </c>
      <c r="F15">
        <v>31.25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x14ac:dyDescent="0.3">
      <c r="A16" t="s">
        <v>239</v>
      </c>
      <c r="B16" s="2" t="s">
        <v>84</v>
      </c>
      <c r="C16" s="4" t="s">
        <v>203</v>
      </c>
      <c r="D16" s="23" t="s">
        <v>140</v>
      </c>
      <c r="E16" s="23" t="s">
        <v>241</v>
      </c>
      <c r="F16">
        <v>31.25</v>
      </c>
      <c r="G16">
        <f t="shared" ref="G16" si="12">(E16-D16)*24</f>
        <v>9.3333333333333321</v>
      </c>
      <c r="H16">
        <f t="shared" ref="H16" si="13">MIN(G16,8)</f>
        <v>8</v>
      </c>
      <c r="I16" s="7">
        <f t="shared" ref="I16" si="14">IF(MAX(G16-8,0) - 1 &lt; 0, 0, MAX(G16-8,0) - 1)</f>
        <v>0.33333333333333215</v>
      </c>
      <c r="J16">
        <f t="shared" ref="J16" si="15">H16*F16</f>
        <v>250</v>
      </c>
      <c r="K16">
        <f t="shared" ref="K16" si="16">I16*F16*1.2</f>
        <v>12.499999999999954</v>
      </c>
      <c r="L16">
        <f>J16+K16</f>
        <v>262.49999999999994</v>
      </c>
    </row>
    <row r="21" spans="1:4" x14ac:dyDescent="0.3">
      <c r="A21" s="6" t="s">
        <v>34</v>
      </c>
      <c r="B21" s="6" t="s">
        <v>35</v>
      </c>
      <c r="C21" s="6" t="s">
        <v>36</v>
      </c>
      <c r="D21" s="6" t="s">
        <v>37</v>
      </c>
    </row>
    <row r="22" spans="1:4" x14ac:dyDescent="0.3">
      <c r="A22" t="s">
        <v>33</v>
      </c>
      <c r="B22" s="8">
        <f>SUM(J2:J20)</f>
        <v>2640.625</v>
      </c>
      <c r="C22" s="8">
        <f>SUM(K2:K20)</f>
        <v>1115.625</v>
      </c>
      <c r="D22" s="8">
        <f>SUM(L2:L20)</f>
        <v>3756.25</v>
      </c>
    </row>
    <row r="30" spans="1:4" ht="21.6" customHeight="1" x14ac:dyDescent="0.3">
      <c r="A30" s="34" t="s">
        <v>39</v>
      </c>
      <c r="B30" s="34"/>
      <c r="C30" s="15"/>
      <c r="D30" s="9"/>
    </row>
    <row r="31" spans="1:4" x14ac:dyDescent="0.3">
      <c r="A31" s="10" t="s">
        <v>40</v>
      </c>
      <c r="B31" s="11" t="str">
        <f>A2</f>
        <v>Ralph</v>
      </c>
      <c r="C31" s="16"/>
    </row>
    <row r="32" spans="1:4" x14ac:dyDescent="0.3">
      <c r="A32" s="10" t="s">
        <v>41</v>
      </c>
      <c r="B32" s="11" t="s">
        <v>55</v>
      </c>
      <c r="C32" s="16"/>
    </row>
    <row r="33" spans="1:3" x14ac:dyDescent="0.3">
      <c r="A33" s="10" t="s">
        <v>42</v>
      </c>
      <c r="B33" s="12">
        <f>C16+5</f>
        <v>46208</v>
      </c>
      <c r="C33" s="16"/>
    </row>
    <row r="34" spans="1:3" x14ac:dyDescent="0.3">
      <c r="A34" s="10" t="s">
        <v>50</v>
      </c>
      <c r="B34" s="10" t="str">
        <f>Kent!B34</f>
        <v>Jun-16 to Jun-30, 2026</v>
      </c>
      <c r="C34" s="16"/>
    </row>
    <row r="35" spans="1:3" x14ac:dyDescent="0.3">
      <c r="A35" s="10" t="s">
        <v>63</v>
      </c>
      <c r="B35" s="10">
        <f>COUNTIF(D2:D17, "*:*")</f>
        <v>11</v>
      </c>
      <c r="C35" s="16"/>
    </row>
    <row r="36" spans="1:3" x14ac:dyDescent="0.3">
      <c r="A36" s="13" t="s">
        <v>53</v>
      </c>
      <c r="B36" s="10"/>
      <c r="C36" s="17"/>
    </row>
    <row r="37" spans="1:3" x14ac:dyDescent="0.3">
      <c r="A37" s="10" t="s">
        <v>44</v>
      </c>
      <c r="B37" s="14">
        <f>B22</f>
        <v>2640.625</v>
      </c>
      <c r="C37" s="16"/>
    </row>
    <row r="38" spans="1:3" x14ac:dyDescent="0.3">
      <c r="A38" s="10" t="s">
        <v>43</v>
      </c>
      <c r="B38" s="14">
        <v>0</v>
      </c>
      <c r="C38" s="16"/>
    </row>
    <row r="39" spans="1:3" x14ac:dyDescent="0.3">
      <c r="A39" s="10" t="s">
        <v>6</v>
      </c>
      <c r="B39" s="14">
        <f>C22</f>
        <v>1115.625</v>
      </c>
      <c r="C39" s="16"/>
    </row>
    <row r="40" spans="1:3" x14ac:dyDescent="0.3">
      <c r="A40" s="10" t="s">
        <v>45</v>
      </c>
      <c r="B40" s="14">
        <v>0</v>
      </c>
      <c r="C40" s="16"/>
    </row>
    <row r="41" spans="1:3" x14ac:dyDescent="0.3">
      <c r="A41" s="10"/>
      <c r="B41" s="14"/>
      <c r="C41" s="16"/>
    </row>
    <row r="42" spans="1:3" x14ac:dyDescent="0.3">
      <c r="A42" s="10"/>
      <c r="B42" s="14"/>
      <c r="C42" s="16"/>
    </row>
    <row r="43" spans="1:3" x14ac:dyDescent="0.3">
      <c r="A43" s="10" t="s">
        <v>46</v>
      </c>
      <c r="B43" s="14">
        <f>SUM(B37:B40)</f>
        <v>3756.25</v>
      </c>
      <c r="C43" s="16"/>
    </row>
    <row r="44" spans="1:3" x14ac:dyDescent="0.3">
      <c r="A44" s="10" t="s">
        <v>47</v>
      </c>
      <c r="B44" s="14">
        <v>-1000</v>
      </c>
      <c r="C44" s="16"/>
    </row>
    <row r="45" spans="1:3" x14ac:dyDescent="0.3">
      <c r="A45" s="10" t="s">
        <v>52</v>
      </c>
      <c r="B45" s="14">
        <v>0</v>
      </c>
      <c r="C45" s="16"/>
    </row>
    <row r="46" spans="1:3" x14ac:dyDescent="0.3">
      <c r="A46" s="10"/>
      <c r="B46" s="14"/>
      <c r="C46" s="16"/>
    </row>
    <row r="47" spans="1:3" x14ac:dyDescent="0.3">
      <c r="A47" s="13" t="s">
        <v>48</v>
      </c>
      <c r="B47" s="14">
        <f>SUM(B43:B45)</f>
        <v>2756.25</v>
      </c>
      <c r="C47" s="16"/>
    </row>
    <row r="48" spans="1:3" x14ac:dyDescent="0.3">
      <c r="B48" s="28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7"/>
  <sheetViews>
    <sheetView workbookViewId="0">
      <selection activeCell="F2" sqref="F2:F16"/>
    </sheetView>
  </sheetViews>
  <sheetFormatPr defaultColWidth="13.33203125" defaultRowHeight="14.4" x14ac:dyDescent="0.3"/>
  <cols>
    <col min="1" max="1" width="15.88671875" customWidth="1"/>
    <col min="2" max="2" width="20.6640625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177</v>
      </c>
      <c r="B2" s="2" t="s">
        <v>18</v>
      </c>
      <c r="C2" s="4" t="s">
        <v>189</v>
      </c>
      <c r="D2" s="23" t="s">
        <v>31</v>
      </c>
      <c r="E2" s="23" t="s">
        <v>31</v>
      </c>
      <c r="F2">
        <v>37.5</v>
      </c>
      <c r="G2">
        <f t="shared" ref="G2:G16" si="0">(E2-D2)*24</f>
        <v>0</v>
      </c>
      <c r="H2">
        <f t="shared" ref="H2:H16" si="1">MIN(G2,8)</f>
        <v>0</v>
      </c>
      <c r="I2" s="7">
        <f t="shared" ref="I2:I16" si="2">IF(MAX(G2-8,0) - 1 &lt; 0, 0, MAX(G2-8,0) - 1)</f>
        <v>0</v>
      </c>
      <c r="J2">
        <f t="shared" ref="J2:J16" si="3">H2*F2</f>
        <v>0</v>
      </c>
      <c r="K2">
        <f t="shared" ref="K2:K16" si="4">I2*F2*1.2</f>
        <v>0</v>
      </c>
      <c r="L2">
        <f t="shared" ref="L2:L16" si="5">J2+K2</f>
        <v>0</v>
      </c>
    </row>
    <row r="3" spans="1:12" x14ac:dyDescent="0.3">
      <c r="A3" t="s">
        <v>177</v>
      </c>
      <c r="B3" s="2" t="s">
        <v>18</v>
      </c>
      <c r="C3" s="4" t="s">
        <v>190</v>
      </c>
      <c r="D3" s="23" t="s">
        <v>62</v>
      </c>
      <c r="E3" s="23" t="s">
        <v>242</v>
      </c>
      <c r="F3">
        <v>37.5</v>
      </c>
      <c r="G3">
        <f t="shared" si="0"/>
        <v>12.333333333333332</v>
      </c>
      <c r="H3">
        <f t="shared" si="1"/>
        <v>8</v>
      </c>
      <c r="I3" s="7">
        <f t="shared" si="2"/>
        <v>3.3333333333333321</v>
      </c>
      <c r="J3">
        <f t="shared" si="3"/>
        <v>300</v>
      </c>
      <c r="K3">
        <f t="shared" si="4"/>
        <v>149.99999999999994</v>
      </c>
      <c r="L3">
        <f t="shared" si="5"/>
        <v>449.99999999999994</v>
      </c>
    </row>
    <row r="4" spans="1:12" x14ac:dyDescent="0.3">
      <c r="A4" t="s">
        <v>177</v>
      </c>
      <c r="B4" s="2" t="s">
        <v>18</v>
      </c>
      <c r="C4" s="4" t="s">
        <v>191</v>
      </c>
      <c r="D4" s="23" t="s">
        <v>62</v>
      </c>
      <c r="E4" s="23" t="s">
        <v>57</v>
      </c>
      <c r="F4">
        <v>37.5</v>
      </c>
      <c r="G4">
        <f t="shared" si="0"/>
        <v>12</v>
      </c>
      <c r="H4">
        <f t="shared" si="1"/>
        <v>8</v>
      </c>
      <c r="I4" s="7">
        <f t="shared" si="2"/>
        <v>3</v>
      </c>
      <c r="J4">
        <f t="shared" si="3"/>
        <v>300</v>
      </c>
      <c r="K4">
        <f t="shared" si="4"/>
        <v>135</v>
      </c>
      <c r="L4">
        <f t="shared" si="5"/>
        <v>435</v>
      </c>
    </row>
    <row r="5" spans="1:12" x14ac:dyDescent="0.3">
      <c r="A5" t="s">
        <v>177</v>
      </c>
      <c r="B5" s="2" t="s">
        <v>18</v>
      </c>
      <c r="C5" s="4" t="s">
        <v>192</v>
      </c>
      <c r="D5" s="23" t="s">
        <v>62</v>
      </c>
      <c r="E5" s="23" t="s">
        <v>243</v>
      </c>
      <c r="F5">
        <v>37.5</v>
      </c>
      <c r="G5">
        <f t="shared" si="0"/>
        <v>12.233333333333333</v>
      </c>
      <c r="H5">
        <f t="shared" si="1"/>
        <v>8</v>
      </c>
      <c r="I5" s="7">
        <f t="shared" si="2"/>
        <v>3.2333333333333325</v>
      </c>
      <c r="J5">
        <f t="shared" si="3"/>
        <v>300</v>
      </c>
      <c r="K5">
        <f t="shared" si="4"/>
        <v>145.49999999999997</v>
      </c>
      <c r="L5">
        <f t="shared" si="5"/>
        <v>445.5</v>
      </c>
    </row>
    <row r="6" spans="1:12" x14ac:dyDescent="0.3">
      <c r="A6" t="s">
        <v>177</v>
      </c>
      <c r="B6" s="2" t="s">
        <v>18</v>
      </c>
      <c r="C6" s="4" t="s">
        <v>193</v>
      </c>
      <c r="D6" s="23" t="s">
        <v>62</v>
      </c>
      <c r="E6" s="23" t="s">
        <v>57</v>
      </c>
      <c r="F6">
        <v>37.5</v>
      </c>
      <c r="G6">
        <f t="shared" si="0"/>
        <v>12</v>
      </c>
      <c r="H6">
        <f t="shared" si="1"/>
        <v>8</v>
      </c>
      <c r="I6" s="7">
        <f t="shared" si="2"/>
        <v>3</v>
      </c>
      <c r="J6">
        <f t="shared" si="3"/>
        <v>300</v>
      </c>
      <c r="K6">
        <f t="shared" si="4"/>
        <v>135</v>
      </c>
      <c r="L6">
        <f t="shared" si="5"/>
        <v>435</v>
      </c>
    </row>
    <row r="7" spans="1:12" x14ac:dyDescent="0.3">
      <c r="A7" t="s">
        <v>177</v>
      </c>
      <c r="B7" s="2" t="s">
        <v>18</v>
      </c>
      <c r="C7" s="4" t="s">
        <v>194</v>
      </c>
      <c r="D7" s="23" t="s">
        <v>31</v>
      </c>
      <c r="E7" s="23" t="s">
        <v>31</v>
      </c>
      <c r="F7">
        <v>37.5</v>
      </c>
      <c r="G7">
        <f t="shared" si="0"/>
        <v>0</v>
      </c>
      <c r="H7">
        <f t="shared" si="1"/>
        <v>0</v>
      </c>
      <c r="I7" s="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 x14ac:dyDescent="0.3">
      <c r="A8" t="s">
        <v>177</v>
      </c>
      <c r="B8" s="2" t="s">
        <v>18</v>
      </c>
      <c r="C8" s="4" t="s">
        <v>195</v>
      </c>
      <c r="D8" s="23" t="s">
        <v>62</v>
      </c>
      <c r="E8" s="23" t="s">
        <v>57</v>
      </c>
      <c r="F8">
        <v>37.5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300</v>
      </c>
      <c r="K8">
        <f t="shared" si="4"/>
        <v>135</v>
      </c>
      <c r="L8">
        <f t="shared" si="5"/>
        <v>435</v>
      </c>
    </row>
    <row r="9" spans="1:12" x14ac:dyDescent="0.3">
      <c r="A9" t="s">
        <v>177</v>
      </c>
      <c r="B9" s="2" t="s">
        <v>18</v>
      </c>
      <c r="C9" s="4" t="s">
        <v>196</v>
      </c>
      <c r="D9" s="23" t="s">
        <v>31</v>
      </c>
      <c r="E9" s="23" t="s">
        <v>31</v>
      </c>
      <c r="F9">
        <v>37.5</v>
      </c>
      <c r="G9">
        <f t="shared" si="0"/>
        <v>0</v>
      </c>
      <c r="H9">
        <f t="shared" si="1"/>
        <v>0</v>
      </c>
      <c r="I9" s="7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 x14ac:dyDescent="0.3">
      <c r="A10" t="s">
        <v>177</v>
      </c>
      <c r="B10" s="2" t="s">
        <v>18</v>
      </c>
      <c r="C10" s="4" t="s">
        <v>197</v>
      </c>
      <c r="D10" s="23" t="s">
        <v>121</v>
      </c>
      <c r="E10" s="23" t="s">
        <v>57</v>
      </c>
      <c r="F10">
        <v>37.5</v>
      </c>
      <c r="G10">
        <f t="shared" si="0"/>
        <v>13.000000000000002</v>
      </c>
      <c r="H10">
        <f t="shared" si="1"/>
        <v>8</v>
      </c>
      <c r="I10" s="7">
        <f t="shared" si="2"/>
        <v>4.0000000000000018</v>
      </c>
      <c r="J10">
        <f t="shared" si="3"/>
        <v>300</v>
      </c>
      <c r="K10">
        <f t="shared" si="4"/>
        <v>180.00000000000006</v>
      </c>
      <c r="L10">
        <f t="shared" si="5"/>
        <v>480.00000000000006</v>
      </c>
    </row>
    <row r="11" spans="1:12" x14ac:dyDescent="0.3">
      <c r="A11" t="s">
        <v>177</v>
      </c>
      <c r="B11" s="2" t="s">
        <v>18</v>
      </c>
      <c r="C11" s="4" t="s">
        <v>198</v>
      </c>
      <c r="D11" s="23" t="s">
        <v>121</v>
      </c>
      <c r="E11" s="23" t="s">
        <v>57</v>
      </c>
      <c r="F11">
        <v>37.5</v>
      </c>
      <c r="G11">
        <f t="shared" si="0"/>
        <v>13.000000000000002</v>
      </c>
      <c r="H11">
        <f t="shared" si="1"/>
        <v>8</v>
      </c>
      <c r="I11" s="7">
        <f t="shared" si="2"/>
        <v>4.0000000000000018</v>
      </c>
      <c r="J11">
        <f t="shared" si="3"/>
        <v>300</v>
      </c>
      <c r="K11">
        <f t="shared" si="4"/>
        <v>180.00000000000006</v>
      </c>
      <c r="L11">
        <f t="shared" si="5"/>
        <v>480.00000000000006</v>
      </c>
    </row>
    <row r="12" spans="1:12" x14ac:dyDescent="0.3">
      <c r="A12" t="s">
        <v>177</v>
      </c>
      <c r="B12" s="2" t="s">
        <v>18</v>
      </c>
      <c r="C12" s="4" t="s">
        <v>199</v>
      </c>
      <c r="D12" s="23" t="s">
        <v>31</v>
      </c>
      <c r="E12" s="23" t="s">
        <v>31</v>
      </c>
      <c r="F12">
        <v>37.5</v>
      </c>
      <c r="G12">
        <f t="shared" si="0"/>
        <v>0</v>
      </c>
      <c r="H12">
        <f t="shared" si="1"/>
        <v>0</v>
      </c>
      <c r="I12" s="7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 x14ac:dyDescent="0.3">
      <c r="A13" t="s">
        <v>177</v>
      </c>
      <c r="B13" s="2" t="s">
        <v>18</v>
      </c>
      <c r="C13" s="4" t="s">
        <v>200</v>
      </c>
      <c r="D13" s="23" t="s">
        <v>62</v>
      </c>
      <c r="E13" s="23" t="s">
        <v>244</v>
      </c>
      <c r="F13">
        <v>37.5</v>
      </c>
      <c r="G13">
        <f t="shared" si="0"/>
        <v>12.216666666666665</v>
      </c>
      <c r="H13">
        <f t="shared" si="1"/>
        <v>8</v>
      </c>
      <c r="I13" s="7">
        <f t="shared" si="2"/>
        <v>3.216666666666665</v>
      </c>
      <c r="J13">
        <f t="shared" si="3"/>
        <v>300</v>
      </c>
      <c r="K13">
        <f t="shared" si="4"/>
        <v>144.74999999999991</v>
      </c>
      <c r="L13">
        <f t="shared" si="5"/>
        <v>444.74999999999989</v>
      </c>
    </row>
    <row r="14" spans="1:12" x14ac:dyDescent="0.3">
      <c r="A14" t="s">
        <v>177</v>
      </c>
      <c r="B14" s="2" t="s">
        <v>18</v>
      </c>
      <c r="C14" s="4" t="s">
        <v>201</v>
      </c>
      <c r="D14" s="23" t="s">
        <v>62</v>
      </c>
      <c r="E14" s="23" t="s">
        <v>54</v>
      </c>
      <c r="F14">
        <v>37.5</v>
      </c>
      <c r="G14">
        <f t="shared" si="0"/>
        <v>12.5</v>
      </c>
      <c r="H14">
        <f t="shared" si="1"/>
        <v>8</v>
      </c>
      <c r="I14" s="7">
        <f t="shared" si="2"/>
        <v>3.5</v>
      </c>
      <c r="J14">
        <f t="shared" si="3"/>
        <v>300</v>
      </c>
      <c r="K14">
        <f t="shared" si="4"/>
        <v>157.5</v>
      </c>
      <c r="L14">
        <f t="shared" si="5"/>
        <v>457.5</v>
      </c>
    </row>
    <row r="15" spans="1:12" x14ac:dyDescent="0.3">
      <c r="A15" t="s">
        <v>177</v>
      </c>
      <c r="B15" s="2" t="s">
        <v>18</v>
      </c>
      <c r="C15" s="4" t="s">
        <v>202</v>
      </c>
      <c r="D15" s="23" t="s">
        <v>62</v>
      </c>
      <c r="E15" s="23" t="s">
        <v>60</v>
      </c>
      <c r="F15">
        <v>37.5</v>
      </c>
      <c r="G15">
        <f t="shared" si="0"/>
        <v>8</v>
      </c>
      <c r="H15">
        <f t="shared" si="1"/>
        <v>8</v>
      </c>
      <c r="I15" s="7">
        <f t="shared" si="2"/>
        <v>0</v>
      </c>
      <c r="J15">
        <f t="shared" si="3"/>
        <v>300</v>
      </c>
      <c r="K15">
        <f t="shared" si="4"/>
        <v>0</v>
      </c>
      <c r="L15">
        <f t="shared" si="5"/>
        <v>300</v>
      </c>
    </row>
    <row r="16" spans="1:12" x14ac:dyDescent="0.3">
      <c r="A16" t="s">
        <v>177</v>
      </c>
      <c r="B16" s="2" t="s">
        <v>18</v>
      </c>
      <c r="C16" s="4" t="s">
        <v>203</v>
      </c>
      <c r="D16" s="23" t="s">
        <v>62</v>
      </c>
      <c r="E16" s="23" t="s">
        <v>245</v>
      </c>
      <c r="F16">
        <v>37.5</v>
      </c>
      <c r="G16">
        <f t="shared" si="0"/>
        <v>12.2</v>
      </c>
      <c r="H16">
        <f t="shared" si="1"/>
        <v>8</v>
      </c>
      <c r="I16" s="7">
        <f t="shared" si="2"/>
        <v>3.1999999999999993</v>
      </c>
      <c r="J16">
        <f t="shared" si="3"/>
        <v>300</v>
      </c>
      <c r="K16">
        <f t="shared" si="4"/>
        <v>143.99999999999997</v>
      </c>
      <c r="L16">
        <f t="shared" si="5"/>
        <v>444</v>
      </c>
    </row>
    <row r="21" spans="1:4" x14ac:dyDescent="0.3">
      <c r="A21" s="6" t="s">
        <v>34</v>
      </c>
      <c r="B21" s="6" t="s">
        <v>35</v>
      </c>
      <c r="C21" s="6" t="s">
        <v>36</v>
      </c>
      <c r="D21" s="6" t="s">
        <v>37</v>
      </c>
    </row>
    <row r="22" spans="1:4" x14ac:dyDescent="0.3">
      <c r="A22" t="s">
        <v>165</v>
      </c>
      <c r="B22" s="8">
        <f>SUM(J3:J20)</f>
        <v>3300</v>
      </c>
      <c r="C22" s="8">
        <f>SUM(K3:K20)</f>
        <v>1506.75</v>
      </c>
      <c r="D22" s="8">
        <f>SUM(L3:L20)</f>
        <v>4806.75</v>
      </c>
    </row>
    <row r="30" spans="1:4" ht="21.6" customHeight="1" x14ac:dyDescent="0.3">
      <c r="A30" s="34" t="s">
        <v>39</v>
      </c>
      <c r="B30" s="34"/>
      <c r="C30" s="15"/>
      <c r="D30" s="9"/>
    </row>
    <row r="31" spans="1:4" x14ac:dyDescent="0.3">
      <c r="A31" s="10" t="s">
        <v>40</v>
      </c>
      <c r="B31" s="11" t="str">
        <f>A3</f>
        <v>Renelyn</v>
      </c>
      <c r="C31" s="16"/>
    </row>
    <row r="32" spans="1:4" x14ac:dyDescent="0.3">
      <c r="A32" s="10" t="s">
        <v>41</v>
      </c>
      <c r="B32" s="11" t="s">
        <v>55</v>
      </c>
      <c r="C32" s="16"/>
    </row>
    <row r="33" spans="1:3" x14ac:dyDescent="0.3">
      <c r="A33" s="10" t="s">
        <v>42</v>
      </c>
      <c r="B33" s="12" t="e">
        <f>#REF!+5</f>
        <v>#REF!</v>
      </c>
      <c r="C33" s="16"/>
    </row>
    <row r="34" spans="1:3" x14ac:dyDescent="0.3">
      <c r="A34" s="10" t="s">
        <v>50</v>
      </c>
      <c r="B34" s="10" t="s">
        <v>178</v>
      </c>
      <c r="C34" s="16"/>
    </row>
    <row r="35" spans="1:3" x14ac:dyDescent="0.3">
      <c r="A35" s="10" t="s">
        <v>63</v>
      </c>
      <c r="B35" s="10">
        <f>COUNTIF(D3:D16, "*:*")</f>
        <v>11</v>
      </c>
      <c r="C35" s="16"/>
    </row>
    <row r="36" spans="1:3" x14ac:dyDescent="0.3">
      <c r="A36" s="13" t="s">
        <v>53</v>
      </c>
      <c r="B36" s="10"/>
      <c r="C36" s="17"/>
    </row>
    <row r="37" spans="1:3" x14ac:dyDescent="0.3">
      <c r="A37" s="10" t="s">
        <v>44</v>
      </c>
      <c r="B37" s="14">
        <f>B22</f>
        <v>3300</v>
      </c>
      <c r="C37" s="16"/>
    </row>
    <row r="38" spans="1:3" x14ac:dyDescent="0.3">
      <c r="A38" s="10" t="s">
        <v>43</v>
      </c>
      <c r="B38" s="14">
        <v>0</v>
      </c>
      <c r="C38" s="16"/>
    </row>
    <row r="39" spans="1:3" x14ac:dyDescent="0.3">
      <c r="A39" s="10" t="s">
        <v>6</v>
      </c>
      <c r="B39" s="14">
        <f>C22</f>
        <v>1506.75</v>
      </c>
      <c r="C39" s="16"/>
    </row>
    <row r="40" spans="1:3" x14ac:dyDescent="0.3">
      <c r="A40" s="10" t="s">
        <v>45</v>
      </c>
      <c r="B40" s="14">
        <v>0</v>
      </c>
      <c r="C40" s="16"/>
    </row>
    <row r="41" spans="1:3" x14ac:dyDescent="0.3">
      <c r="A41" s="10"/>
      <c r="B41" s="14"/>
      <c r="C41" s="16"/>
    </row>
    <row r="42" spans="1:3" x14ac:dyDescent="0.3">
      <c r="A42" s="10"/>
      <c r="B42" s="14"/>
      <c r="C42" s="16"/>
    </row>
    <row r="43" spans="1:3" x14ac:dyDescent="0.3">
      <c r="A43" s="10" t="s">
        <v>46</v>
      </c>
      <c r="B43" s="14">
        <f>D22</f>
        <v>4806.75</v>
      </c>
      <c r="C43" s="16"/>
    </row>
    <row r="44" spans="1:3" x14ac:dyDescent="0.3">
      <c r="A44" s="10" t="s">
        <v>47</v>
      </c>
      <c r="B44" s="14">
        <v>0</v>
      </c>
      <c r="C44" s="16"/>
    </row>
    <row r="45" spans="1:3" x14ac:dyDescent="0.3">
      <c r="A45" s="10" t="s">
        <v>52</v>
      </c>
      <c r="B45" s="14">
        <v>0</v>
      </c>
      <c r="C45" s="16"/>
    </row>
    <row r="46" spans="1:3" x14ac:dyDescent="0.3">
      <c r="A46" s="10"/>
      <c r="B46" s="14"/>
      <c r="C46" s="16"/>
    </row>
    <row r="47" spans="1:3" x14ac:dyDescent="0.3">
      <c r="A47" s="13" t="s">
        <v>48</v>
      </c>
      <c r="B47" s="14">
        <f>SUM(B43:B45)</f>
        <v>4806.75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6"/>
  <sheetViews>
    <sheetView workbookViewId="0">
      <selection activeCell="D8" sqref="D8:E8"/>
    </sheetView>
  </sheetViews>
  <sheetFormatPr defaultColWidth="14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2" t="s">
        <v>18</v>
      </c>
      <c r="C2" s="4" t="s">
        <v>189</v>
      </c>
      <c r="D2" s="23" t="s">
        <v>62</v>
      </c>
      <c r="E2" s="23" t="s">
        <v>57</v>
      </c>
      <c r="F2">
        <v>46.875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375</v>
      </c>
      <c r="K2">
        <f t="shared" ref="K2:K8" si="2">I2*F2*1.2</f>
        <v>168.75</v>
      </c>
      <c r="L2">
        <f t="shared" ref="L2:L8" si="3">J2+K2</f>
        <v>543.75</v>
      </c>
    </row>
    <row r="3" spans="1:12" x14ac:dyDescent="0.3">
      <c r="A3" t="s">
        <v>15</v>
      </c>
      <c r="B3" s="2" t="s">
        <v>18</v>
      </c>
      <c r="C3" s="4" t="s">
        <v>190</v>
      </c>
      <c r="D3" s="23" t="s">
        <v>229</v>
      </c>
      <c r="E3" s="23" t="s">
        <v>65</v>
      </c>
      <c r="F3">
        <v>46.875</v>
      </c>
      <c r="G3">
        <f t="shared" si="0"/>
        <v>5.7833333333333332</v>
      </c>
      <c r="H3">
        <f t="shared" ref="H3:H16" si="4">MIN(G3,8)</f>
        <v>5.7833333333333332</v>
      </c>
      <c r="I3" s="7">
        <f t="shared" ref="I3:I16" si="5">IF(MAX(G3-8,0) - 1 &lt; 0, 0, MAX(G3-8,0) - 1)</f>
        <v>0</v>
      </c>
      <c r="J3">
        <f t="shared" si="1"/>
        <v>271.09375</v>
      </c>
      <c r="K3">
        <f t="shared" si="2"/>
        <v>0</v>
      </c>
      <c r="L3">
        <f t="shared" si="3"/>
        <v>271.09375</v>
      </c>
    </row>
    <row r="4" spans="1:12" x14ac:dyDescent="0.3">
      <c r="A4" t="s">
        <v>15</v>
      </c>
      <c r="B4" s="2" t="s">
        <v>18</v>
      </c>
      <c r="C4" s="4" t="s">
        <v>191</v>
      </c>
      <c r="D4" s="23" t="s">
        <v>62</v>
      </c>
      <c r="E4" s="23" t="s">
        <v>57</v>
      </c>
      <c r="F4">
        <v>46.875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375</v>
      </c>
      <c r="K4">
        <f t="shared" si="2"/>
        <v>168.75</v>
      </c>
      <c r="L4">
        <f t="shared" si="3"/>
        <v>543.75</v>
      </c>
    </row>
    <row r="5" spans="1:12" x14ac:dyDescent="0.3">
      <c r="A5" t="s">
        <v>15</v>
      </c>
      <c r="B5" s="2" t="s">
        <v>18</v>
      </c>
      <c r="C5" s="4" t="s">
        <v>192</v>
      </c>
      <c r="D5" s="23" t="s">
        <v>62</v>
      </c>
      <c r="E5" s="23" t="s">
        <v>57</v>
      </c>
      <c r="F5">
        <v>46.875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375</v>
      </c>
      <c r="K5">
        <f t="shared" si="2"/>
        <v>168.75</v>
      </c>
      <c r="L5">
        <f t="shared" si="3"/>
        <v>543.75</v>
      </c>
    </row>
    <row r="6" spans="1:12" x14ac:dyDescent="0.3">
      <c r="A6" t="s">
        <v>15</v>
      </c>
      <c r="B6" s="2" t="s">
        <v>18</v>
      </c>
      <c r="C6" s="4" t="s">
        <v>193</v>
      </c>
      <c r="D6" s="23" t="s">
        <v>62</v>
      </c>
      <c r="E6" s="23" t="s">
        <v>240</v>
      </c>
      <c r="F6">
        <v>46.875</v>
      </c>
      <c r="G6">
        <f t="shared" si="0"/>
        <v>12.166666666666666</v>
      </c>
      <c r="H6">
        <f t="shared" si="4"/>
        <v>8</v>
      </c>
      <c r="I6" s="7">
        <f t="shared" si="5"/>
        <v>3.1666666666666661</v>
      </c>
      <c r="J6">
        <f t="shared" si="1"/>
        <v>375</v>
      </c>
      <c r="K6">
        <f t="shared" si="2"/>
        <v>178.12499999999997</v>
      </c>
      <c r="L6">
        <f t="shared" si="3"/>
        <v>553.125</v>
      </c>
    </row>
    <row r="7" spans="1:12" x14ac:dyDescent="0.3">
      <c r="A7" t="s">
        <v>15</v>
      </c>
      <c r="B7" s="2" t="s">
        <v>18</v>
      </c>
      <c r="C7" s="4" t="s">
        <v>194</v>
      </c>
      <c r="D7" s="23" t="s">
        <v>62</v>
      </c>
      <c r="E7" s="23" t="s">
        <v>246</v>
      </c>
      <c r="F7">
        <v>46.875</v>
      </c>
      <c r="G7">
        <f t="shared" si="0"/>
        <v>12.533333333333335</v>
      </c>
      <c r="H7">
        <f t="shared" si="4"/>
        <v>8</v>
      </c>
      <c r="I7" s="7">
        <f t="shared" si="5"/>
        <v>3.533333333333335</v>
      </c>
      <c r="J7">
        <f t="shared" si="1"/>
        <v>375</v>
      </c>
      <c r="K7">
        <f t="shared" si="2"/>
        <v>198.75000000000009</v>
      </c>
      <c r="L7">
        <f t="shared" si="3"/>
        <v>573.75000000000011</v>
      </c>
    </row>
    <row r="8" spans="1:12" x14ac:dyDescent="0.3">
      <c r="A8" t="s">
        <v>15</v>
      </c>
      <c r="B8" s="2" t="s">
        <v>18</v>
      </c>
      <c r="C8" s="4" t="s">
        <v>195</v>
      </c>
      <c r="D8" s="23" t="s">
        <v>62</v>
      </c>
      <c r="E8" s="23" t="s">
        <v>57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 x14ac:dyDescent="0.3">
      <c r="A9" t="s">
        <v>15</v>
      </c>
      <c r="B9" s="2" t="s">
        <v>18</v>
      </c>
      <c r="C9" s="4" t="s">
        <v>196</v>
      </c>
      <c r="D9" s="23" t="s">
        <v>62</v>
      </c>
      <c r="E9" s="23" t="s">
        <v>57</v>
      </c>
      <c r="F9">
        <v>46.875</v>
      </c>
      <c r="G9">
        <f t="shared" ref="G9:G15" si="6">(E9-D9)*24</f>
        <v>12</v>
      </c>
      <c r="H9">
        <f t="shared" si="4"/>
        <v>8</v>
      </c>
      <c r="I9" s="7">
        <f t="shared" si="5"/>
        <v>3</v>
      </c>
      <c r="J9">
        <f t="shared" ref="J9:J15" si="7">H9*F9</f>
        <v>375</v>
      </c>
      <c r="K9">
        <f t="shared" ref="K9:K15" si="8">I9*F9*1.2</f>
        <v>168.75</v>
      </c>
      <c r="L9">
        <f t="shared" ref="L9:L15" si="9">J9+K9</f>
        <v>543.75</v>
      </c>
    </row>
    <row r="10" spans="1:12" x14ac:dyDescent="0.3">
      <c r="A10" t="s">
        <v>15</v>
      </c>
      <c r="B10" s="2" t="s">
        <v>18</v>
      </c>
      <c r="C10" s="4" t="s">
        <v>197</v>
      </c>
      <c r="D10" s="23" t="s">
        <v>121</v>
      </c>
      <c r="E10" s="23" t="s">
        <v>57</v>
      </c>
      <c r="F10">
        <v>46.875</v>
      </c>
      <c r="G10">
        <f t="shared" si="6"/>
        <v>13.000000000000002</v>
      </c>
      <c r="H10">
        <f t="shared" si="4"/>
        <v>8</v>
      </c>
      <c r="I10" s="7">
        <f t="shared" si="5"/>
        <v>4.0000000000000018</v>
      </c>
      <c r="J10">
        <f t="shared" si="7"/>
        <v>375</v>
      </c>
      <c r="K10">
        <f t="shared" si="8"/>
        <v>225.00000000000009</v>
      </c>
      <c r="L10">
        <f t="shared" si="9"/>
        <v>600.00000000000011</v>
      </c>
    </row>
    <row r="11" spans="1:12" x14ac:dyDescent="0.3">
      <c r="A11" t="s">
        <v>15</v>
      </c>
      <c r="B11" s="2" t="s">
        <v>18</v>
      </c>
      <c r="C11" s="4" t="s">
        <v>198</v>
      </c>
      <c r="D11" s="23" t="s">
        <v>121</v>
      </c>
      <c r="E11" s="23" t="s">
        <v>57</v>
      </c>
      <c r="F11">
        <v>46.875</v>
      </c>
      <c r="G11">
        <f t="shared" si="6"/>
        <v>13.000000000000002</v>
      </c>
      <c r="H11">
        <f t="shared" si="4"/>
        <v>8</v>
      </c>
      <c r="I11" s="7">
        <f t="shared" si="5"/>
        <v>4.0000000000000018</v>
      </c>
      <c r="J11">
        <f t="shared" si="7"/>
        <v>375</v>
      </c>
      <c r="K11">
        <f t="shared" si="8"/>
        <v>225.00000000000009</v>
      </c>
      <c r="L11">
        <f t="shared" si="9"/>
        <v>600.00000000000011</v>
      </c>
    </row>
    <row r="12" spans="1:12" x14ac:dyDescent="0.3">
      <c r="A12" t="s">
        <v>15</v>
      </c>
      <c r="B12" s="2" t="s">
        <v>18</v>
      </c>
      <c r="C12" s="4" t="s">
        <v>199</v>
      </c>
      <c r="D12" s="23" t="s">
        <v>31</v>
      </c>
      <c r="E12" s="23" t="s">
        <v>31</v>
      </c>
      <c r="F12">
        <v>46.875</v>
      </c>
      <c r="G12">
        <f t="shared" si="6"/>
        <v>0</v>
      </c>
      <c r="H12">
        <f t="shared" si="4"/>
        <v>0</v>
      </c>
      <c r="I12" s="7">
        <f t="shared" si="5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 x14ac:dyDescent="0.3">
      <c r="A13" t="s">
        <v>15</v>
      </c>
      <c r="B13" s="2" t="s">
        <v>18</v>
      </c>
      <c r="C13" s="4" t="s">
        <v>200</v>
      </c>
      <c r="D13" s="23" t="s">
        <v>62</v>
      </c>
      <c r="E13" s="23" t="s">
        <v>57</v>
      </c>
      <c r="F13">
        <v>46.875</v>
      </c>
      <c r="G13">
        <f t="shared" si="6"/>
        <v>12</v>
      </c>
      <c r="H13">
        <f t="shared" si="4"/>
        <v>8</v>
      </c>
      <c r="I13" s="7">
        <f t="shared" si="5"/>
        <v>3</v>
      </c>
      <c r="J13">
        <f t="shared" si="7"/>
        <v>375</v>
      </c>
      <c r="K13">
        <f t="shared" si="8"/>
        <v>168.75</v>
      </c>
      <c r="L13">
        <f t="shared" si="9"/>
        <v>543.75</v>
      </c>
    </row>
    <row r="14" spans="1:12" x14ac:dyDescent="0.3">
      <c r="A14" t="s">
        <v>15</v>
      </c>
      <c r="B14" s="2" t="s">
        <v>18</v>
      </c>
      <c r="C14" s="4" t="s">
        <v>201</v>
      </c>
      <c r="D14" s="23" t="s">
        <v>62</v>
      </c>
      <c r="E14" s="23" t="s">
        <v>54</v>
      </c>
      <c r="F14">
        <v>46.875</v>
      </c>
      <c r="G14">
        <f t="shared" si="6"/>
        <v>12.5</v>
      </c>
      <c r="H14">
        <f t="shared" si="4"/>
        <v>8</v>
      </c>
      <c r="I14" s="7">
        <f t="shared" si="5"/>
        <v>3.5</v>
      </c>
      <c r="J14">
        <f t="shared" si="7"/>
        <v>375</v>
      </c>
      <c r="K14">
        <f t="shared" si="8"/>
        <v>196.875</v>
      </c>
      <c r="L14">
        <f t="shared" si="9"/>
        <v>571.875</v>
      </c>
    </row>
    <row r="15" spans="1:12" x14ac:dyDescent="0.3">
      <c r="A15" t="s">
        <v>15</v>
      </c>
      <c r="B15" s="2" t="s">
        <v>18</v>
      </c>
      <c r="C15" s="4" t="s">
        <v>202</v>
      </c>
      <c r="D15" s="23" t="s">
        <v>62</v>
      </c>
      <c r="E15" s="23" t="s">
        <v>57</v>
      </c>
      <c r="F15">
        <v>46.875</v>
      </c>
      <c r="G15">
        <f t="shared" si="6"/>
        <v>12</v>
      </c>
      <c r="H15">
        <f t="shared" si="4"/>
        <v>8</v>
      </c>
      <c r="I15" s="7">
        <f t="shared" si="5"/>
        <v>3</v>
      </c>
      <c r="J15">
        <f t="shared" si="7"/>
        <v>375</v>
      </c>
      <c r="K15">
        <f t="shared" si="8"/>
        <v>168.75</v>
      </c>
      <c r="L15">
        <f t="shared" si="9"/>
        <v>543.75</v>
      </c>
    </row>
    <row r="16" spans="1:12" x14ac:dyDescent="0.3">
      <c r="A16" t="s">
        <v>15</v>
      </c>
      <c r="B16" s="2" t="s">
        <v>18</v>
      </c>
      <c r="C16" s="4" t="s">
        <v>203</v>
      </c>
      <c r="D16" s="23" t="s">
        <v>62</v>
      </c>
      <c r="E16" s="23" t="s">
        <v>247</v>
      </c>
      <c r="F16">
        <v>46.875</v>
      </c>
      <c r="G16">
        <f t="shared" ref="G16" si="10">(E16-D16)*24</f>
        <v>12.05</v>
      </c>
      <c r="H16">
        <f t="shared" si="4"/>
        <v>8</v>
      </c>
      <c r="I16" s="7">
        <f t="shared" si="5"/>
        <v>3.0500000000000007</v>
      </c>
      <c r="J16">
        <f t="shared" ref="J16" si="11">H16*F16</f>
        <v>375</v>
      </c>
      <c r="K16">
        <f t="shared" ref="K16" si="12">I16*F16*1.2</f>
        <v>171.56250000000003</v>
      </c>
      <c r="L16">
        <f t="shared" ref="L16" si="13">J16+K16</f>
        <v>546.5625</v>
      </c>
    </row>
    <row r="17" spans="1:11" x14ac:dyDescent="0.3">
      <c r="C17" s="16"/>
      <c r="D17" s="16"/>
      <c r="E17" s="16"/>
    </row>
    <row r="20" spans="1:11" x14ac:dyDescent="0.3">
      <c r="A20" s="6" t="s">
        <v>34</v>
      </c>
      <c r="B20" s="6" t="s">
        <v>35</v>
      </c>
      <c r="C20" s="6" t="s">
        <v>36</v>
      </c>
      <c r="D20" s="6" t="s">
        <v>37</v>
      </c>
    </row>
    <row r="21" spans="1:11" x14ac:dyDescent="0.3">
      <c r="A21" t="s">
        <v>15</v>
      </c>
      <c r="B21" s="8">
        <f>SUM(J2:J19)</f>
        <v>5146.09375</v>
      </c>
      <c r="C21" s="8">
        <f>SUM(K2:K19)</f>
        <v>2376.5625</v>
      </c>
      <c r="D21" s="8">
        <f>SUM(L2:L19)</f>
        <v>7522.65625</v>
      </c>
    </row>
    <row r="24" spans="1:11" x14ac:dyDescent="0.3">
      <c r="G24" s="22"/>
      <c r="H24" s="22"/>
      <c r="I24" s="4"/>
      <c r="J24" s="4"/>
      <c r="K24" s="23"/>
    </row>
    <row r="25" spans="1:11" x14ac:dyDescent="0.3">
      <c r="G25" s="22"/>
      <c r="H25" s="22"/>
      <c r="I25" s="4"/>
      <c r="J25" s="4"/>
      <c r="K25" s="23"/>
    </row>
    <row r="26" spans="1:11" x14ac:dyDescent="0.3">
      <c r="G26" s="22"/>
      <c r="H26" s="4"/>
      <c r="I26" s="5"/>
      <c r="J26" s="5"/>
    </row>
    <row r="27" spans="1:11" x14ac:dyDescent="0.3">
      <c r="G27" s="22"/>
      <c r="H27" s="4"/>
      <c r="I27" s="24"/>
      <c r="J27" s="24"/>
    </row>
    <row r="28" spans="1:11" x14ac:dyDescent="0.3">
      <c r="G28" s="22"/>
      <c r="H28" s="4"/>
      <c r="I28" s="5"/>
      <c r="J28" s="5"/>
    </row>
    <row r="29" spans="1:11" ht="21.6" customHeight="1" x14ac:dyDescent="0.3">
      <c r="A29" s="34" t="s">
        <v>39</v>
      </c>
      <c r="B29" s="34"/>
      <c r="C29" s="15"/>
      <c r="D29" s="9"/>
      <c r="G29" s="22"/>
      <c r="H29" s="4"/>
      <c r="I29" s="5"/>
      <c r="J29" s="5"/>
    </row>
    <row r="30" spans="1:11" x14ac:dyDescent="0.3">
      <c r="A30" s="10" t="s">
        <v>40</v>
      </c>
      <c r="B30" s="11" t="str">
        <f>A2</f>
        <v>Cherry</v>
      </c>
      <c r="C30" s="16"/>
      <c r="G30" s="22"/>
      <c r="H30" s="4"/>
      <c r="I30" s="5"/>
      <c r="J30" s="5"/>
    </row>
    <row r="31" spans="1:11" x14ac:dyDescent="0.3">
      <c r="A31" s="10" t="s">
        <v>41</v>
      </c>
      <c r="B31" s="11" t="s">
        <v>55</v>
      </c>
      <c r="C31" s="16"/>
      <c r="G31" s="22"/>
      <c r="H31" s="4"/>
      <c r="I31" s="5"/>
      <c r="J31" s="5"/>
    </row>
    <row r="32" spans="1:11" x14ac:dyDescent="0.3">
      <c r="A32" s="10" t="s">
        <v>42</v>
      </c>
      <c r="B32" s="12">
        <f>C16+5</f>
        <v>46208</v>
      </c>
      <c r="C32" s="16"/>
      <c r="G32" s="22"/>
      <c r="H32" s="4"/>
      <c r="I32" s="24"/>
      <c r="J32" s="24"/>
    </row>
    <row r="33" spans="1:10" x14ac:dyDescent="0.3">
      <c r="A33" s="10" t="s">
        <v>50</v>
      </c>
      <c r="B33" s="10" t="str">
        <f>Kent!B34</f>
        <v>Jun-16 to Jun-30, 2026</v>
      </c>
      <c r="C33" s="16"/>
      <c r="G33" s="22"/>
      <c r="H33" s="4"/>
      <c r="I33" s="5"/>
      <c r="J33" s="5"/>
    </row>
    <row r="34" spans="1:10" x14ac:dyDescent="0.3">
      <c r="A34" s="10" t="s">
        <v>63</v>
      </c>
      <c r="B34" s="10">
        <f>COUNTIF(D1:D16, "*:*")</f>
        <v>14</v>
      </c>
      <c r="C34" s="16"/>
    </row>
    <row r="35" spans="1:10" x14ac:dyDescent="0.3">
      <c r="A35" s="13" t="s">
        <v>53</v>
      </c>
      <c r="B35" s="10"/>
      <c r="C35" s="17"/>
    </row>
    <row r="36" spans="1:10" x14ac:dyDescent="0.3">
      <c r="A36" s="10" t="s">
        <v>44</v>
      </c>
      <c r="B36" s="14">
        <f>B21</f>
        <v>5146.09375</v>
      </c>
      <c r="C36" s="16"/>
    </row>
    <row r="37" spans="1:10" x14ac:dyDescent="0.3">
      <c r="A37" s="10" t="s">
        <v>43</v>
      </c>
      <c r="B37" s="14">
        <v>0</v>
      </c>
      <c r="C37" s="16"/>
    </row>
    <row r="38" spans="1:10" x14ac:dyDescent="0.3">
      <c r="A38" s="10" t="s">
        <v>6</v>
      </c>
      <c r="B38" s="14">
        <f>C21</f>
        <v>2376.5625</v>
      </c>
      <c r="C38" s="16"/>
    </row>
    <row r="39" spans="1:10" x14ac:dyDescent="0.3">
      <c r="A39" s="10" t="s">
        <v>45</v>
      </c>
      <c r="B39" s="14">
        <v>0</v>
      </c>
      <c r="C39" s="16"/>
    </row>
    <row r="40" spans="1:10" x14ac:dyDescent="0.3">
      <c r="A40" s="10"/>
      <c r="B40" s="14"/>
      <c r="C40" s="16"/>
    </row>
    <row r="41" spans="1:10" x14ac:dyDescent="0.3">
      <c r="A41" s="10"/>
      <c r="B41" s="14"/>
      <c r="C41" s="16"/>
    </row>
    <row r="42" spans="1:10" x14ac:dyDescent="0.3">
      <c r="A42" s="10" t="s">
        <v>46</v>
      </c>
      <c r="B42" s="14">
        <f>SUM(B36:B39)</f>
        <v>7522.65625</v>
      </c>
      <c r="C42" s="16"/>
    </row>
    <row r="43" spans="1:10" x14ac:dyDescent="0.3">
      <c r="A43" s="10" t="s">
        <v>47</v>
      </c>
      <c r="B43" s="14">
        <v>0</v>
      </c>
      <c r="C43" s="16"/>
    </row>
    <row r="44" spans="1:10" x14ac:dyDescent="0.3">
      <c r="A44" s="10" t="s">
        <v>52</v>
      </c>
      <c r="B44" s="14">
        <v>0</v>
      </c>
      <c r="C44" s="16"/>
    </row>
    <row r="45" spans="1:10" x14ac:dyDescent="0.3">
      <c r="A45" s="10"/>
      <c r="B45" s="14"/>
      <c r="C45" s="16"/>
    </row>
    <row r="46" spans="1:10" x14ac:dyDescent="0.3">
      <c r="A46" s="13" t="s">
        <v>48</v>
      </c>
      <c r="B46" s="14">
        <f>SUM(B42:B44)</f>
        <v>7522.65625</v>
      </c>
      <c r="C46" s="16"/>
    </row>
  </sheetData>
  <mergeCells count="1">
    <mergeCell ref="A29:B29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5"/>
  <sheetViews>
    <sheetView workbookViewId="0">
      <selection activeCell="G20" sqref="G20"/>
    </sheetView>
  </sheetViews>
  <sheetFormatPr defaultColWidth="15.44140625" defaultRowHeight="14.4" x14ac:dyDescent="0.3"/>
  <cols>
    <col min="2" max="2" width="19.44140625" bestFit="1" customWidth="1"/>
    <col min="5" max="5" width="14.6640625" customWidth="1"/>
    <col min="6" max="6" width="13.77734375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248</v>
      </c>
      <c r="B2" s="2" t="s">
        <v>19</v>
      </c>
      <c r="C2" s="4" t="s">
        <v>189</v>
      </c>
      <c r="D2" s="30" t="s">
        <v>31</v>
      </c>
      <c r="E2" s="30" t="s">
        <v>31</v>
      </c>
      <c r="F2">
        <v>31.25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 x14ac:dyDescent="0.3">
      <c r="A3" t="s">
        <v>248</v>
      </c>
      <c r="B3" s="2" t="s">
        <v>19</v>
      </c>
      <c r="C3" s="4" t="s">
        <v>190</v>
      </c>
      <c r="D3" s="30" t="s">
        <v>31</v>
      </c>
      <c r="E3" s="30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 x14ac:dyDescent="0.3">
      <c r="A4" t="s">
        <v>248</v>
      </c>
      <c r="B4" s="2" t="s">
        <v>19</v>
      </c>
      <c r="C4" s="4" t="s">
        <v>191</v>
      </c>
      <c r="D4" s="30" t="s">
        <v>31</v>
      </c>
      <c r="E4" s="30" t="s">
        <v>31</v>
      </c>
      <c r="F4">
        <v>31.25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 x14ac:dyDescent="0.3">
      <c r="A5" t="s">
        <v>248</v>
      </c>
      <c r="B5" s="2" t="s">
        <v>19</v>
      </c>
      <c r="C5" s="4" t="s">
        <v>192</v>
      </c>
      <c r="D5" s="30" t="s">
        <v>31</v>
      </c>
      <c r="E5" s="30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 x14ac:dyDescent="0.3">
      <c r="A6" t="s">
        <v>248</v>
      </c>
      <c r="B6" s="2" t="s">
        <v>19</v>
      </c>
      <c r="C6" s="4" t="s">
        <v>193</v>
      </c>
      <c r="D6" s="30" t="s">
        <v>31</v>
      </c>
      <c r="E6" s="30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 x14ac:dyDescent="0.3">
      <c r="A7" t="s">
        <v>248</v>
      </c>
      <c r="B7" s="2" t="s">
        <v>19</v>
      </c>
      <c r="C7" s="4" t="s">
        <v>194</v>
      </c>
      <c r="D7" s="30" t="s">
        <v>31</v>
      </c>
      <c r="E7" s="30" t="s">
        <v>31</v>
      </c>
      <c r="F7">
        <v>31.25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 x14ac:dyDescent="0.3">
      <c r="A8" t="s">
        <v>248</v>
      </c>
      <c r="B8" s="2" t="s">
        <v>19</v>
      </c>
      <c r="C8" s="4" t="s">
        <v>195</v>
      </c>
      <c r="D8" s="30" t="s">
        <v>31</v>
      </c>
      <c r="E8" s="30" t="s">
        <v>31</v>
      </c>
      <c r="F8">
        <v>31.25</v>
      </c>
      <c r="G8" s="31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 x14ac:dyDescent="0.3">
      <c r="A9" t="s">
        <v>248</v>
      </c>
      <c r="B9" s="2" t="s">
        <v>19</v>
      </c>
      <c r="C9" s="4" t="s">
        <v>196</v>
      </c>
      <c r="D9" s="30" t="s">
        <v>31</v>
      </c>
      <c r="E9" s="30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ref="J9:J15" si="6">H9*F9</f>
        <v>0</v>
      </c>
      <c r="K9" s="7">
        <f t="shared" ref="K9:K15" si="7">I9*F9*1.2</f>
        <v>0</v>
      </c>
      <c r="L9" s="7">
        <f t="shared" ref="L9:L15" si="8">J9+K9</f>
        <v>0</v>
      </c>
    </row>
    <row r="10" spans="1:12" x14ac:dyDescent="0.3">
      <c r="A10" t="s">
        <v>248</v>
      </c>
      <c r="B10" s="2" t="s">
        <v>19</v>
      </c>
      <c r="C10" s="4" t="s">
        <v>197</v>
      </c>
      <c r="D10" s="30" t="s">
        <v>31</v>
      </c>
      <c r="E10" s="30" t="s">
        <v>31</v>
      </c>
      <c r="F10">
        <v>31.25</v>
      </c>
      <c r="G10" s="31">
        <f t="shared" si="0"/>
        <v>0</v>
      </c>
      <c r="H10">
        <f t="shared" ref="H10:H16" si="9">MIN(G10,8)</f>
        <v>0</v>
      </c>
      <c r="I10" s="7">
        <f t="shared" ref="I10:I15" si="10">IF(MAX(G10-8,0) - 1 &lt; 0, 0, MAX(G10-8,0) - 1)</f>
        <v>0</v>
      </c>
      <c r="J10" s="7">
        <f t="shared" si="6"/>
        <v>0</v>
      </c>
      <c r="K10" s="7">
        <f t="shared" si="7"/>
        <v>0</v>
      </c>
      <c r="L10" s="7">
        <f t="shared" si="8"/>
        <v>0</v>
      </c>
    </row>
    <row r="11" spans="1:12" x14ac:dyDescent="0.3">
      <c r="A11" t="s">
        <v>248</v>
      </c>
      <c r="B11" s="2" t="s">
        <v>19</v>
      </c>
      <c r="C11" s="4" t="s">
        <v>198</v>
      </c>
      <c r="D11" s="30" t="s">
        <v>31</v>
      </c>
      <c r="E11" s="30" t="s">
        <v>31</v>
      </c>
      <c r="F11">
        <v>31.25</v>
      </c>
      <c r="G11" s="31">
        <f t="shared" si="0"/>
        <v>0</v>
      </c>
      <c r="H11">
        <f t="shared" si="9"/>
        <v>0</v>
      </c>
      <c r="I11" s="7">
        <f t="shared" si="10"/>
        <v>0</v>
      </c>
      <c r="J11" s="7">
        <f t="shared" si="6"/>
        <v>0</v>
      </c>
      <c r="K11" s="7">
        <f t="shared" si="7"/>
        <v>0</v>
      </c>
      <c r="L11" s="7">
        <f t="shared" si="8"/>
        <v>0</v>
      </c>
    </row>
    <row r="12" spans="1:12" x14ac:dyDescent="0.3">
      <c r="A12" t="s">
        <v>248</v>
      </c>
      <c r="B12" s="2" t="s">
        <v>19</v>
      </c>
      <c r="C12" s="4" t="s">
        <v>199</v>
      </c>
      <c r="D12" s="30" t="s">
        <v>31</v>
      </c>
      <c r="E12" s="30" t="s">
        <v>31</v>
      </c>
      <c r="F12">
        <v>31.25</v>
      </c>
      <c r="G12" s="31">
        <f t="shared" si="0"/>
        <v>0</v>
      </c>
      <c r="H12">
        <f t="shared" si="9"/>
        <v>0</v>
      </c>
      <c r="I12" s="7">
        <f t="shared" si="10"/>
        <v>0</v>
      </c>
      <c r="J12" s="7">
        <f t="shared" si="6"/>
        <v>0</v>
      </c>
      <c r="K12" s="7">
        <f t="shared" si="7"/>
        <v>0</v>
      </c>
      <c r="L12" s="7">
        <f t="shared" si="8"/>
        <v>0</v>
      </c>
    </row>
    <row r="13" spans="1:12" x14ac:dyDescent="0.3">
      <c r="A13" t="s">
        <v>248</v>
      </c>
      <c r="B13" s="2" t="s">
        <v>19</v>
      </c>
      <c r="C13" s="4" t="s">
        <v>200</v>
      </c>
      <c r="D13" s="30" t="s">
        <v>31</v>
      </c>
      <c r="E13" s="30" t="s">
        <v>31</v>
      </c>
      <c r="F13">
        <v>31.25</v>
      </c>
      <c r="G13" s="31">
        <f t="shared" si="0"/>
        <v>0</v>
      </c>
      <c r="H13">
        <f t="shared" si="9"/>
        <v>0</v>
      </c>
      <c r="I13" s="7">
        <f t="shared" si="10"/>
        <v>0</v>
      </c>
      <c r="J13" s="7">
        <f t="shared" si="6"/>
        <v>0</v>
      </c>
      <c r="K13" s="7">
        <f t="shared" si="7"/>
        <v>0</v>
      </c>
      <c r="L13" s="7">
        <f t="shared" si="8"/>
        <v>0</v>
      </c>
    </row>
    <row r="14" spans="1:12" x14ac:dyDescent="0.3">
      <c r="A14" t="s">
        <v>248</v>
      </c>
      <c r="B14" s="2" t="s">
        <v>19</v>
      </c>
      <c r="C14" s="4" t="s">
        <v>201</v>
      </c>
      <c r="D14" s="30" t="s">
        <v>31</v>
      </c>
      <c r="E14" s="30" t="s">
        <v>31</v>
      </c>
      <c r="F14">
        <v>31.25</v>
      </c>
      <c r="G14" s="31">
        <f t="shared" si="0"/>
        <v>0</v>
      </c>
      <c r="H14">
        <f t="shared" si="9"/>
        <v>0</v>
      </c>
      <c r="I14" s="7">
        <f t="shared" si="10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</row>
    <row r="15" spans="1:12" x14ac:dyDescent="0.3">
      <c r="A15" t="s">
        <v>248</v>
      </c>
      <c r="B15" s="2" t="s">
        <v>19</v>
      </c>
      <c r="C15" s="4" t="s">
        <v>202</v>
      </c>
      <c r="D15" s="23" t="s">
        <v>62</v>
      </c>
      <c r="E15" s="23" t="s">
        <v>57</v>
      </c>
      <c r="F15">
        <v>31.25</v>
      </c>
      <c r="G15" s="31">
        <f t="shared" si="0"/>
        <v>12</v>
      </c>
      <c r="H15">
        <f t="shared" si="9"/>
        <v>8</v>
      </c>
      <c r="I15" s="7">
        <f t="shared" si="10"/>
        <v>3</v>
      </c>
      <c r="J15" s="7">
        <f t="shared" si="6"/>
        <v>250</v>
      </c>
      <c r="K15" s="7">
        <f t="shared" si="7"/>
        <v>112.5</v>
      </c>
      <c r="L15" s="7">
        <f t="shared" si="8"/>
        <v>362.5</v>
      </c>
    </row>
    <row r="16" spans="1:12" x14ac:dyDescent="0.3">
      <c r="A16" t="s">
        <v>248</v>
      </c>
      <c r="B16" s="2" t="s">
        <v>19</v>
      </c>
      <c r="C16" s="4" t="s">
        <v>203</v>
      </c>
      <c r="D16" s="23" t="s">
        <v>62</v>
      </c>
      <c r="E16" s="23" t="s">
        <v>235</v>
      </c>
      <c r="F16">
        <v>31.25</v>
      </c>
      <c r="G16" s="31">
        <f t="shared" si="0"/>
        <v>12.116666666666667</v>
      </c>
      <c r="H16">
        <f t="shared" si="9"/>
        <v>8</v>
      </c>
      <c r="I16" s="7">
        <f t="shared" ref="I16" si="11">IF(MAX(G16-8,0) - 1 &lt; 0, 0, MAX(G16-8,0) - 1)</f>
        <v>3.1166666666666671</v>
      </c>
      <c r="J16" s="7">
        <f t="shared" ref="J16" si="12">H16*F16</f>
        <v>250</v>
      </c>
      <c r="K16" s="7">
        <f t="shared" ref="K16" si="13">I16*F16*1.2</f>
        <v>116.875</v>
      </c>
      <c r="L16" s="7">
        <f t="shared" ref="L16" si="14">J16+K16</f>
        <v>366.875</v>
      </c>
    </row>
    <row r="22" spans="1:4" x14ac:dyDescent="0.3">
      <c r="A22" s="6" t="s">
        <v>34</v>
      </c>
      <c r="B22" s="6" t="s">
        <v>35</v>
      </c>
      <c r="C22" s="6" t="s">
        <v>36</v>
      </c>
      <c r="D22" s="6" t="s">
        <v>37</v>
      </c>
    </row>
    <row r="23" spans="1:4" x14ac:dyDescent="0.3">
      <c r="A23" t="s">
        <v>107</v>
      </c>
      <c r="B23" s="8">
        <f>SUM(J2:J21)</f>
        <v>500</v>
      </c>
      <c r="C23" s="8">
        <f>SUM(K2:K21)</f>
        <v>229.375</v>
      </c>
      <c r="D23" s="8">
        <f>SUM(L2:L21)</f>
        <v>729.375</v>
      </c>
    </row>
    <row r="27" spans="1:4" ht="21.6" customHeight="1" x14ac:dyDescent="0.3">
      <c r="A27" s="34" t="s">
        <v>39</v>
      </c>
      <c r="B27" s="34"/>
      <c r="C27" s="15"/>
      <c r="D27" s="9"/>
    </row>
    <row r="28" spans="1:4" x14ac:dyDescent="0.3">
      <c r="A28" s="10" t="s">
        <v>40</v>
      </c>
      <c r="B28" s="11" t="str">
        <f>A2</f>
        <v>Nino</v>
      </c>
      <c r="C28" s="16"/>
    </row>
    <row r="29" spans="1:4" x14ac:dyDescent="0.3">
      <c r="A29" s="10" t="s">
        <v>41</v>
      </c>
      <c r="B29" s="11" t="s">
        <v>55</v>
      </c>
      <c r="C29" s="16"/>
    </row>
    <row r="30" spans="1:4" x14ac:dyDescent="0.3">
      <c r="A30" s="10" t="s">
        <v>42</v>
      </c>
      <c r="B30" s="12">
        <f>C16+5</f>
        <v>46208</v>
      </c>
      <c r="C30" s="16"/>
    </row>
    <row r="31" spans="1:4" x14ac:dyDescent="0.3">
      <c r="A31" s="10" t="s">
        <v>50</v>
      </c>
      <c r="B31" s="10" t="str">
        <f>Kent!B34</f>
        <v>Jun-16 to Jun-30, 2026</v>
      </c>
      <c r="C31" s="16"/>
    </row>
    <row r="32" spans="1:4" x14ac:dyDescent="0.3">
      <c r="A32" s="10" t="s">
        <v>63</v>
      </c>
      <c r="B32" s="10">
        <f>COUNTIF(D2:D17, "*:*")</f>
        <v>2</v>
      </c>
      <c r="C32" s="16"/>
    </row>
    <row r="33" spans="1:3" x14ac:dyDescent="0.3">
      <c r="A33" s="13" t="s">
        <v>53</v>
      </c>
      <c r="B33" s="10"/>
      <c r="C33" s="17"/>
    </row>
    <row r="34" spans="1:3" x14ac:dyDescent="0.3">
      <c r="A34" s="10" t="s">
        <v>44</v>
      </c>
      <c r="B34" s="14">
        <f>B23</f>
        <v>500</v>
      </c>
      <c r="C34" s="16"/>
    </row>
    <row r="35" spans="1:3" x14ac:dyDescent="0.3">
      <c r="A35" s="10" t="s">
        <v>43</v>
      </c>
      <c r="B35" s="14">
        <v>0</v>
      </c>
      <c r="C35" s="16"/>
    </row>
    <row r="36" spans="1:3" x14ac:dyDescent="0.3">
      <c r="A36" s="10" t="s">
        <v>6</v>
      </c>
      <c r="B36" s="14">
        <f>C23</f>
        <v>229.375</v>
      </c>
      <c r="C36" s="16"/>
    </row>
    <row r="37" spans="1:3" x14ac:dyDescent="0.3">
      <c r="A37" s="10" t="s">
        <v>45</v>
      </c>
      <c r="B37" s="14">
        <v>0</v>
      </c>
      <c r="C37" s="16"/>
    </row>
    <row r="38" spans="1:3" x14ac:dyDescent="0.3">
      <c r="A38" s="10"/>
      <c r="B38" s="14"/>
      <c r="C38" s="16"/>
    </row>
    <row r="39" spans="1:3" x14ac:dyDescent="0.3">
      <c r="A39" s="10"/>
      <c r="B39" s="14"/>
      <c r="C39" s="16"/>
    </row>
    <row r="40" spans="1:3" x14ac:dyDescent="0.3">
      <c r="A40" s="10" t="s">
        <v>46</v>
      </c>
      <c r="B40" s="14">
        <f>D23</f>
        <v>729.375</v>
      </c>
      <c r="C40" s="16"/>
    </row>
    <row r="41" spans="1:3" x14ac:dyDescent="0.3">
      <c r="A41" s="10" t="s">
        <v>47</v>
      </c>
      <c r="B41" s="14">
        <v>0</v>
      </c>
      <c r="C41" s="16"/>
    </row>
    <row r="42" spans="1:3" x14ac:dyDescent="0.3">
      <c r="A42" s="10"/>
      <c r="B42" s="14">
        <v>0</v>
      </c>
      <c r="C42" s="16"/>
    </row>
    <row r="43" spans="1:3" x14ac:dyDescent="0.3">
      <c r="A43" s="10"/>
      <c r="B43" s="14">
        <v>0</v>
      </c>
      <c r="C43" s="16"/>
    </row>
    <row r="44" spans="1:3" x14ac:dyDescent="0.3">
      <c r="A44" s="10" t="s">
        <v>179</v>
      </c>
      <c r="B44" s="14"/>
      <c r="C44" s="16"/>
    </row>
    <row r="45" spans="1:3" x14ac:dyDescent="0.3">
      <c r="A45" s="13" t="s">
        <v>48</v>
      </c>
      <c r="B45" s="14">
        <f>SUM(B40:B43)</f>
        <v>729.375</v>
      </c>
      <c r="C45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workbookViewId="0">
      <selection activeCell="D41" sqref="D41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66</v>
      </c>
      <c r="B2" s="2" t="s">
        <v>59</v>
      </c>
      <c r="C2" s="4" t="s">
        <v>166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 x14ac:dyDescent="0.3">
      <c r="A3" t="s">
        <v>66</v>
      </c>
      <c r="B3" s="2" t="s">
        <v>59</v>
      </c>
      <c r="C3" s="4" t="s">
        <v>168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 x14ac:dyDescent="0.3">
      <c r="A4" t="s">
        <v>66</v>
      </c>
      <c r="B4" s="2" t="s">
        <v>59</v>
      </c>
      <c r="C4" s="4" t="s">
        <v>168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 x14ac:dyDescent="0.3">
      <c r="A5" t="s">
        <v>66</v>
      </c>
      <c r="B5" s="2" t="s">
        <v>59</v>
      </c>
      <c r="C5" s="4" t="s">
        <v>170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 x14ac:dyDescent="0.3">
      <c r="A6" t="s">
        <v>66</v>
      </c>
      <c r="B6" s="2" t="s">
        <v>59</v>
      </c>
      <c r="C6" s="4" t="s">
        <v>171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 x14ac:dyDescent="0.3">
      <c r="A7" t="s">
        <v>66</v>
      </c>
      <c r="B7" s="25" t="s">
        <v>61</v>
      </c>
      <c r="C7" s="4" t="s">
        <v>173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 x14ac:dyDescent="0.3">
      <c r="A8" t="s">
        <v>66</v>
      </c>
      <c r="B8" s="25" t="s">
        <v>61</v>
      </c>
      <c r="C8" s="4" t="s">
        <v>174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 x14ac:dyDescent="0.3">
      <c r="A23" s="34" t="s">
        <v>39</v>
      </c>
      <c r="B23" s="34"/>
      <c r="C23" s="15"/>
      <c r="D23" s="9"/>
    </row>
    <row r="24" spans="1:4" x14ac:dyDescent="0.3">
      <c r="A24" s="10" t="s">
        <v>40</v>
      </c>
      <c r="B24" s="11" t="str">
        <f>A2</f>
        <v>David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v>46193</v>
      </c>
      <c r="C26" s="16"/>
    </row>
    <row r="27" spans="1:4" x14ac:dyDescent="0.3">
      <c r="A27" s="10" t="s">
        <v>50</v>
      </c>
      <c r="B27" s="10" t="str">
        <f>Kent!B34</f>
        <v>Jun-16 to Jun-30, 2026</v>
      </c>
      <c r="C27" s="16"/>
    </row>
    <row r="28" spans="1:4" x14ac:dyDescent="0.3">
      <c r="A28" s="10" t="s">
        <v>63</v>
      </c>
      <c r="B28" s="10">
        <f>COUNTIF(D2:D8, "*:*")</f>
        <v>7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8">
        <f>D15</f>
        <v>3855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0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3855</v>
      </c>
      <c r="C36" s="16"/>
    </row>
    <row r="37" spans="1:3" x14ac:dyDescent="0.3">
      <c r="A37" s="10" t="s">
        <v>47</v>
      </c>
      <c r="B37" s="14">
        <v>-1147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32</v>
      </c>
      <c r="B2" s="2" t="s">
        <v>18</v>
      </c>
      <c r="C2" s="29" t="s">
        <v>110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 x14ac:dyDescent="0.3">
      <c r="A3" t="s">
        <v>32</v>
      </c>
      <c r="B3" s="2" t="s">
        <v>18</v>
      </c>
      <c r="C3" s="29" t="s">
        <v>99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32</v>
      </c>
      <c r="B4" s="2" t="s">
        <v>18</v>
      </c>
      <c r="C4" s="29" t="s">
        <v>100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32</v>
      </c>
      <c r="B5" s="2" t="s">
        <v>18</v>
      </c>
      <c r="C5" s="29" t="s">
        <v>101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32</v>
      </c>
      <c r="B6" s="2" t="s">
        <v>18</v>
      </c>
      <c r="C6" s="29" t="s">
        <v>102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32</v>
      </c>
      <c r="B7" s="2" t="s">
        <v>18</v>
      </c>
      <c r="C7" s="29" t="s">
        <v>103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32</v>
      </c>
      <c r="B8" s="2" t="s">
        <v>18</v>
      </c>
      <c r="C8" s="29" t="s">
        <v>104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 x14ac:dyDescent="0.3">
      <c r="A9" t="s">
        <v>32</v>
      </c>
      <c r="B9" s="2" t="s">
        <v>18</v>
      </c>
      <c r="C9" s="29" t="s">
        <v>110</v>
      </c>
      <c r="D9" s="30" t="s">
        <v>97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 x14ac:dyDescent="0.3">
      <c r="A10" t="s">
        <v>32</v>
      </c>
      <c r="B10" s="2" t="s">
        <v>18</v>
      </c>
      <c r="C10" s="29" t="s">
        <v>99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 x14ac:dyDescent="0.3">
      <c r="A11" t="s">
        <v>32</v>
      </c>
      <c r="B11" s="2" t="s">
        <v>18</v>
      </c>
      <c r="C11" s="29" t="s">
        <v>100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 x14ac:dyDescent="0.3">
      <c r="A12" t="s">
        <v>32</v>
      </c>
      <c r="B12" s="2" t="s">
        <v>18</v>
      </c>
      <c r="C12" s="29" t="s">
        <v>101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 x14ac:dyDescent="0.3">
      <c r="A13" t="s">
        <v>32</v>
      </c>
      <c r="B13" s="2" t="s">
        <v>18</v>
      </c>
      <c r="C13" s="29" t="s">
        <v>102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 x14ac:dyDescent="0.3">
      <c r="A14" t="s">
        <v>32</v>
      </c>
      <c r="B14" s="2" t="s">
        <v>18</v>
      </c>
      <c r="C14" s="29" t="s">
        <v>103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 x14ac:dyDescent="0.3">
      <c r="A15" t="s">
        <v>32</v>
      </c>
      <c r="B15" s="2" t="s">
        <v>18</v>
      </c>
      <c r="C15" s="29" t="s">
        <v>104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 x14ac:dyDescent="0.3">
      <c r="A16" t="s">
        <v>32</v>
      </c>
      <c r="B16" s="2" t="s">
        <v>18</v>
      </c>
      <c r="C16" s="29" t="s">
        <v>104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 x14ac:dyDescent="0.3">
      <c r="A21" s="6" t="s">
        <v>34</v>
      </c>
      <c r="B21" s="6" t="s">
        <v>35</v>
      </c>
      <c r="C21" s="6" t="s">
        <v>36</v>
      </c>
      <c r="D21" s="6" t="s">
        <v>37</v>
      </c>
    </row>
    <row r="22" spans="1:4" x14ac:dyDescent="0.3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 x14ac:dyDescent="0.3">
      <c r="A30" s="34" t="s">
        <v>39</v>
      </c>
      <c r="B30" s="34"/>
      <c r="C30" s="15"/>
      <c r="D30" s="9"/>
    </row>
    <row r="31" spans="1:4" x14ac:dyDescent="0.3">
      <c r="A31" s="10" t="s">
        <v>40</v>
      </c>
      <c r="B31" s="11" t="str">
        <f>A2</f>
        <v>Kris Naynayan</v>
      </c>
      <c r="C31" s="16"/>
    </row>
    <row r="32" spans="1:4" x14ac:dyDescent="0.3">
      <c r="A32" s="10" t="s">
        <v>41</v>
      </c>
      <c r="B32" s="11" t="s">
        <v>55</v>
      </c>
      <c r="C32" s="16"/>
    </row>
    <row r="33" spans="1:3" x14ac:dyDescent="0.3">
      <c r="A33" s="10" t="s">
        <v>42</v>
      </c>
      <c r="B33" s="12">
        <f>C8+1</f>
        <v>46139</v>
      </c>
      <c r="C33" s="16"/>
    </row>
    <row r="34" spans="1:3" x14ac:dyDescent="0.3">
      <c r="A34" s="10" t="s">
        <v>50</v>
      </c>
      <c r="B34" s="10" t="str">
        <f>Kent!B34</f>
        <v>Jun-16 to Jun-30, 2026</v>
      </c>
      <c r="C34" s="16"/>
    </row>
    <row r="35" spans="1:3" x14ac:dyDescent="0.3">
      <c r="A35" s="10" t="s">
        <v>63</v>
      </c>
      <c r="B35" s="10">
        <f>COUNTIF(D2:D8, "*:*")</f>
        <v>0</v>
      </c>
      <c r="C35" s="16"/>
    </row>
    <row r="36" spans="1:3" x14ac:dyDescent="0.3">
      <c r="A36" s="13" t="s">
        <v>53</v>
      </c>
      <c r="B36" s="10"/>
      <c r="C36" s="17"/>
    </row>
    <row r="37" spans="1:3" x14ac:dyDescent="0.3">
      <c r="A37" s="10" t="s">
        <v>44</v>
      </c>
      <c r="B37" s="14">
        <f>B22</f>
        <v>326.88</v>
      </c>
      <c r="C37" s="16"/>
    </row>
    <row r="38" spans="1:3" x14ac:dyDescent="0.3">
      <c r="A38" s="10" t="s">
        <v>43</v>
      </c>
      <c r="B38" s="14">
        <v>0</v>
      </c>
      <c r="C38" s="16"/>
    </row>
    <row r="39" spans="1:3" x14ac:dyDescent="0.3">
      <c r="A39" s="10" t="s">
        <v>6</v>
      </c>
      <c r="B39" s="14">
        <f>C22</f>
        <v>8.7098328549473075E-14</v>
      </c>
      <c r="C39" s="16"/>
    </row>
    <row r="40" spans="1:3" x14ac:dyDescent="0.3">
      <c r="A40" s="10" t="s">
        <v>45</v>
      </c>
      <c r="B40" s="14">
        <v>0</v>
      </c>
      <c r="C40" s="16"/>
    </row>
    <row r="41" spans="1:3" x14ac:dyDescent="0.3">
      <c r="A41" s="10"/>
      <c r="B41" s="14"/>
      <c r="C41" s="16"/>
    </row>
    <row r="42" spans="1:3" x14ac:dyDescent="0.3">
      <c r="A42" s="10"/>
      <c r="B42" s="14"/>
      <c r="C42" s="16"/>
    </row>
    <row r="43" spans="1:3" x14ac:dyDescent="0.3">
      <c r="A43" s="10" t="s">
        <v>46</v>
      </c>
      <c r="B43" s="14">
        <f>D22</f>
        <v>326.88000000000011</v>
      </c>
      <c r="C43" s="16"/>
    </row>
    <row r="44" spans="1:3" x14ac:dyDescent="0.3">
      <c r="A44" s="10" t="s">
        <v>47</v>
      </c>
      <c r="B44" s="14">
        <v>0</v>
      </c>
      <c r="C44" s="16"/>
    </row>
    <row r="45" spans="1:3" x14ac:dyDescent="0.3">
      <c r="A45" s="10" t="s">
        <v>52</v>
      </c>
      <c r="B45" s="14">
        <v>0</v>
      </c>
      <c r="C45" s="16"/>
    </row>
    <row r="46" spans="1:3" x14ac:dyDescent="0.3">
      <c r="A46" s="10"/>
      <c r="B46" s="14"/>
      <c r="C46" s="16"/>
    </row>
    <row r="47" spans="1:3" x14ac:dyDescent="0.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105</v>
      </c>
      <c r="B2" s="2" t="s">
        <v>18</v>
      </c>
      <c r="C2" s="4" t="s">
        <v>114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105</v>
      </c>
      <c r="B3" s="2" t="s">
        <v>18</v>
      </c>
      <c r="C3" s="4" t="s">
        <v>115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105</v>
      </c>
      <c r="B4" s="2" t="s">
        <v>18</v>
      </c>
      <c r="C4" s="4" t="s">
        <v>116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105</v>
      </c>
      <c r="B5" s="2" t="s">
        <v>18</v>
      </c>
      <c r="C5" s="4" t="s">
        <v>138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 x14ac:dyDescent="0.3">
      <c r="A6" t="s">
        <v>105</v>
      </c>
      <c r="B6" s="2" t="s">
        <v>18</v>
      </c>
      <c r="C6" s="4" t="s">
        <v>122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 x14ac:dyDescent="0.3">
      <c r="A7" t="s">
        <v>105</v>
      </c>
      <c r="B7" s="2" t="s">
        <v>18</v>
      </c>
      <c r="C7" s="4" t="s">
        <v>123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105</v>
      </c>
      <c r="B8" s="2" t="s">
        <v>18</v>
      </c>
      <c r="C8" s="4" t="s">
        <v>124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 x14ac:dyDescent="0.3">
      <c r="A9" t="s">
        <v>105</v>
      </c>
      <c r="B9" s="2" t="s">
        <v>18</v>
      </c>
      <c r="C9" s="4" t="s">
        <v>125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 x14ac:dyDescent="0.3">
      <c r="A10" t="s">
        <v>105</v>
      </c>
      <c r="B10" s="2" t="s">
        <v>18</v>
      </c>
      <c r="C10" s="4" t="s">
        <v>126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 x14ac:dyDescent="0.3">
      <c r="A11" t="s">
        <v>105</v>
      </c>
      <c r="B11" s="2" t="s">
        <v>18</v>
      </c>
      <c r="C11" s="4" t="s">
        <v>127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 x14ac:dyDescent="0.3">
      <c r="A12" t="s">
        <v>105</v>
      </c>
      <c r="B12" s="2" t="s">
        <v>18</v>
      </c>
      <c r="C12" s="4" t="s">
        <v>128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 x14ac:dyDescent="0.3">
      <c r="A13" t="s">
        <v>105</v>
      </c>
      <c r="B13" s="2" t="s">
        <v>18</v>
      </c>
      <c r="C13" s="4" t="s">
        <v>130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 x14ac:dyDescent="0.3">
      <c r="A14" t="s">
        <v>105</v>
      </c>
      <c r="B14" s="2" t="s">
        <v>18</v>
      </c>
      <c r="C14" s="4" t="s">
        <v>131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 x14ac:dyDescent="0.3">
      <c r="A15" t="s">
        <v>105</v>
      </c>
      <c r="B15" s="2" t="s">
        <v>18</v>
      </c>
      <c r="C15" s="4" t="s">
        <v>132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x14ac:dyDescent="0.3">
      <c r="A16" t="s">
        <v>105</v>
      </c>
      <c r="B16" s="2" t="s">
        <v>18</v>
      </c>
      <c r="C16" s="4" t="s">
        <v>133</v>
      </c>
      <c r="D16" s="23" t="s">
        <v>62</v>
      </c>
      <c r="E16" s="23" t="s">
        <v>141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 x14ac:dyDescent="0.3">
      <c r="A22" s="6" t="s">
        <v>34</v>
      </c>
      <c r="B22" s="6" t="s">
        <v>35</v>
      </c>
      <c r="C22" s="6" t="s">
        <v>36</v>
      </c>
      <c r="D22" s="6" t="s">
        <v>37</v>
      </c>
    </row>
    <row r="23" spans="1:4" x14ac:dyDescent="0.3">
      <c r="A23" t="s">
        <v>105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 x14ac:dyDescent="0.3">
      <c r="A31" s="34" t="s">
        <v>39</v>
      </c>
      <c r="B31" s="34"/>
      <c r="C31" s="15"/>
      <c r="D31" s="9"/>
    </row>
    <row r="32" spans="1:4" x14ac:dyDescent="0.3">
      <c r="A32" s="10" t="s">
        <v>40</v>
      </c>
      <c r="B32" s="11" t="s">
        <v>105</v>
      </c>
      <c r="C32" s="16"/>
    </row>
    <row r="33" spans="1:3" x14ac:dyDescent="0.3">
      <c r="A33" s="10" t="s">
        <v>41</v>
      </c>
      <c r="B33" s="11" t="s">
        <v>55</v>
      </c>
      <c r="C33" s="16"/>
    </row>
    <row r="34" spans="1:3" x14ac:dyDescent="0.3">
      <c r="A34" s="10" t="s">
        <v>42</v>
      </c>
      <c r="B34" s="12">
        <f>C8+1</f>
        <v>46150</v>
      </c>
      <c r="C34" s="16"/>
    </row>
    <row r="35" spans="1:3" x14ac:dyDescent="0.3">
      <c r="A35" s="10" t="s">
        <v>50</v>
      </c>
      <c r="B35" s="10" t="str">
        <f>Kent!B34</f>
        <v>Jun-16 to Jun-30, 2026</v>
      </c>
      <c r="C35" s="16"/>
    </row>
    <row r="36" spans="1:3" x14ac:dyDescent="0.3">
      <c r="A36" s="10" t="s">
        <v>63</v>
      </c>
      <c r="B36" s="10">
        <f>COUNTIF(D2:D16, "*:*")</f>
        <v>9</v>
      </c>
      <c r="C36" s="16"/>
    </row>
    <row r="37" spans="1:3" x14ac:dyDescent="0.3">
      <c r="A37" s="13" t="s">
        <v>53</v>
      </c>
      <c r="B37" s="10"/>
      <c r="C37" s="17"/>
    </row>
    <row r="38" spans="1:3" x14ac:dyDescent="0.3">
      <c r="A38" s="10" t="s">
        <v>44</v>
      </c>
      <c r="B38" s="14">
        <f>B23</f>
        <v>2865.625</v>
      </c>
      <c r="C38" s="16"/>
    </row>
    <row r="39" spans="1:3" x14ac:dyDescent="0.3">
      <c r="A39" s="10" t="s">
        <v>43</v>
      </c>
      <c r="B39" s="14">
        <v>0</v>
      </c>
      <c r="C39" s="16"/>
    </row>
    <row r="40" spans="1:3" x14ac:dyDescent="0.3">
      <c r="A40" s="10" t="s">
        <v>6</v>
      </c>
      <c r="B40" s="14">
        <f>C23</f>
        <v>1102.5</v>
      </c>
      <c r="C40" s="16"/>
    </row>
    <row r="41" spans="1:3" x14ac:dyDescent="0.3">
      <c r="A41" s="10" t="s">
        <v>45</v>
      </c>
      <c r="B41" s="14">
        <v>0</v>
      </c>
      <c r="C41" s="16"/>
    </row>
    <row r="42" spans="1:3" x14ac:dyDescent="0.3">
      <c r="A42" s="10"/>
      <c r="B42" s="14"/>
      <c r="C42" s="16"/>
    </row>
    <row r="43" spans="1:3" x14ac:dyDescent="0.3">
      <c r="A43" s="10"/>
      <c r="B43" s="14"/>
      <c r="C43" s="16"/>
    </row>
    <row r="44" spans="1:3" x14ac:dyDescent="0.3">
      <c r="A44" s="10" t="s">
        <v>46</v>
      </c>
      <c r="B44" s="14">
        <f>D23</f>
        <v>3968.125</v>
      </c>
      <c r="C44" s="16"/>
    </row>
    <row r="45" spans="1:3" x14ac:dyDescent="0.3">
      <c r="A45" s="10" t="s">
        <v>47</v>
      </c>
      <c r="B45" s="14">
        <v>0</v>
      </c>
      <c r="C45" s="16"/>
    </row>
    <row r="46" spans="1:3" x14ac:dyDescent="0.3">
      <c r="A46" s="10" t="s">
        <v>52</v>
      </c>
      <c r="B46" s="14">
        <v>0</v>
      </c>
      <c r="C46" s="16"/>
    </row>
    <row r="47" spans="1:3" x14ac:dyDescent="0.3">
      <c r="A47" s="10"/>
      <c r="B47" s="14"/>
      <c r="C47" s="16"/>
    </row>
    <row r="48" spans="1:3" x14ac:dyDescent="0.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</v>
      </c>
      <c r="B2" s="2" t="s">
        <v>19</v>
      </c>
      <c r="C2" s="29" t="s">
        <v>110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 x14ac:dyDescent="0.3">
      <c r="A3" t="s">
        <v>12</v>
      </c>
      <c r="B3" s="2" t="s">
        <v>19</v>
      </c>
      <c r="C3" s="29" t="s">
        <v>111</v>
      </c>
      <c r="D3" s="30" t="s">
        <v>117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 x14ac:dyDescent="0.3">
      <c r="A4" t="s">
        <v>12</v>
      </c>
      <c r="B4" s="2" t="s">
        <v>19</v>
      </c>
      <c r="C4" s="29" t="s">
        <v>112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 x14ac:dyDescent="0.3">
      <c r="A5" t="s">
        <v>12</v>
      </c>
      <c r="B5" s="2" t="s">
        <v>19</v>
      </c>
      <c r="C5" s="29" t="s">
        <v>113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12</v>
      </c>
      <c r="B6" s="2" t="s">
        <v>19</v>
      </c>
      <c r="C6" s="29" t="s">
        <v>114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12</v>
      </c>
      <c r="B7" s="2" t="s">
        <v>19</v>
      </c>
      <c r="C7" s="29" t="s">
        <v>115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12</v>
      </c>
      <c r="B8" s="2" t="s">
        <v>19</v>
      </c>
      <c r="C8" s="29" t="s">
        <v>116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 x14ac:dyDescent="0.3">
      <c r="A23" s="34" t="s">
        <v>39</v>
      </c>
      <c r="B23" s="34"/>
      <c r="C23" s="15"/>
      <c r="D23" s="9"/>
    </row>
    <row r="24" spans="1:4" x14ac:dyDescent="0.3">
      <c r="A24" s="10" t="s">
        <v>40</v>
      </c>
      <c r="B24" s="11" t="str">
        <f>A2</f>
        <v>Jay Anne</v>
      </c>
      <c r="C24" s="16"/>
    </row>
    <row r="25" spans="1:4" x14ac:dyDescent="0.3">
      <c r="A25" s="10" t="s">
        <v>41</v>
      </c>
      <c r="B25" s="11" t="s">
        <v>56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Kent!B34</f>
        <v>Jun-16 to Jun-30, 2026</v>
      </c>
      <c r="C27" s="16"/>
    </row>
    <row r="28" spans="1:4" x14ac:dyDescent="0.3">
      <c r="A28" s="10" t="s">
        <v>63</v>
      </c>
      <c r="B28" s="10">
        <f>COUNTIF(D2:D8, "*:*")</f>
        <v>3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900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159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1059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120</v>
      </c>
      <c r="B2" s="2" t="s">
        <v>18</v>
      </c>
      <c r="C2" s="29" t="s">
        <v>142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120</v>
      </c>
      <c r="B3" s="2" t="s">
        <v>18</v>
      </c>
      <c r="C3" s="29" t="s">
        <v>144</v>
      </c>
      <c r="D3" s="23" t="s">
        <v>62</v>
      </c>
      <c r="E3" s="23" t="s">
        <v>136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 x14ac:dyDescent="0.3">
      <c r="A4" t="s">
        <v>120</v>
      </c>
      <c r="B4" s="2" t="s">
        <v>18</v>
      </c>
      <c r="C4" s="29" t="s">
        <v>145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 x14ac:dyDescent="0.3">
      <c r="A5" t="s">
        <v>120</v>
      </c>
      <c r="B5" s="2" t="s">
        <v>18</v>
      </c>
      <c r="C5" s="29" t="s">
        <v>146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120</v>
      </c>
      <c r="B6" s="2" t="s">
        <v>18</v>
      </c>
      <c r="C6" s="29" t="s">
        <v>147</v>
      </c>
      <c r="D6" s="23" t="s">
        <v>60</v>
      </c>
      <c r="E6" s="23" t="s">
        <v>136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 x14ac:dyDescent="0.3">
      <c r="A7" t="s">
        <v>120</v>
      </c>
      <c r="B7" s="2" t="s">
        <v>18</v>
      </c>
      <c r="C7" s="29" t="s">
        <v>148</v>
      </c>
      <c r="D7" s="23" t="s">
        <v>60</v>
      </c>
      <c r="E7" s="23" t="s">
        <v>136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 x14ac:dyDescent="0.3">
      <c r="A8" t="s">
        <v>120</v>
      </c>
      <c r="B8" s="2" t="s">
        <v>18</v>
      </c>
      <c r="C8" s="29" t="s">
        <v>149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 x14ac:dyDescent="0.3">
      <c r="A9" t="s">
        <v>120</v>
      </c>
      <c r="B9" s="2" t="s">
        <v>18</v>
      </c>
      <c r="C9" s="29" t="s">
        <v>150</v>
      </c>
      <c r="D9" s="23" t="s">
        <v>62</v>
      </c>
      <c r="E9" s="23" t="s">
        <v>136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 x14ac:dyDescent="0.3">
      <c r="A10" t="s">
        <v>120</v>
      </c>
      <c r="B10" s="2" t="s">
        <v>18</v>
      </c>
      <c r="C10" s="29" t="s">
        <v>151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 x14ac:dyDescent="0.3">
      <c r="A11" t="s">
        <v>120</v>
      </c>
      <c r="B11" s="2" t="s">
        <v>18</v>
      </c>
      <c r="C11" s="29" t="s">
        <v>152</v>
      </c>
      <c r="D11" s="23" t="s">
        <v>62</v>
      </c>
      <c r="E11" s="23" t="s">
        <v>136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 x14ac:dyDescent="0.3">
      <c r="A12" t="s">
        <v>120</v>
      </c>
      <c r="B12" s="2" t="s">
        <v>18</v>
      </c>
      <c r="C12" s="29" t="s">
        <v>154</v>
      </c>
      <c r="D12" s="23" t="s">
        <v>62</v>
      </c>
      <c r="E12" s="23" t="s">
        <v>136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 x14ac:dyDescent="0.3">
      <c r="A13" t="s">
        <v>120</v>
      </c>
      <c r="B13" s="2" t="s">
        <v>18</v>
      </c>
      <c r="C13" s="29" t="s">
        <v>155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 x14ac:dyDescent="0.3">
      <c r="A14" t="s">
        <v>120</v>
      </c>
      <c r="B14" s="2" t="s">
        <v>18</v>
      </c>
      <c r="C14" s="29" t="s">
        <v>156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 x14ac:dyDescent="0.3">
      <c r="A15" t="s">
        <v>120</v>
      </c>
      <c r="B15" s="2" t="s">
        <v>18</v>
      </c>
      <c r="C15" s="29" t="s">
        <v>157</v>
      </c>
      <c r="D15" s="23" t="s">
        <v>62</v>
      </c>
      <c r="E15" s="23" t="s">
        <v>136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 x14ac:dyDescent="0.3">
      <c r="A16" t="s">
        <v>120</v>
      </c>
      <c r="B16" s="2" t="s">
        <v>18</v>
      </c>
      <c r="C16" s="29" t="s">
        <v>158</v>
      </c>
      <c r="D16" s="23" t="s">
        <v>62</v>
      </c>
      <c r="E16" s="23" t="s">
        <v>136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 x14ac:dyDescent="0.3">
      <c r="A17" t="s">
        <v>120</v>
      </c>
      <c r="B17" s="2" t="s">
        <v>18</v>
      </c>
      <c r="C17" s="29" t="s">
        <v>159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 x14ac:dyDescent="0.3">
      <c r="A22" s="6" t="s">
        <v>34</v>
      </c>
      <c r="B22" s="6" t="s">
        <v>35</v>
      </c>
      <c r="C22" s="6" t="s">
        <v>36</v>
      </c>
      <c r="D22" s="6" t="s">
        <v>37</v>
      </c>
    </row>
    <row r="23" spans="1:12" x14ac:dyDescent="0.3">
      <c r="A23" t="s">
        <v>120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 x14ac:dyDescent="0.3">
      <c r="A31" s="34" t="s">
        <v>39</v>
      </c>
      <c r="B31" s="34"/>
      <c r="C31" s="15"/>
      <c r="D31" s="9"/>
    </row>
    <row r="32" spans="1:12" x14ac:dyDescent="0.3">
      <c r="A32" s="10" t="s">
        <v>40</v>
      </c>
      <c r="B32" s="11" t="str">
        <f>A2</f>
        <v>Sheen Valles</v>
      </c>
      <c r="C32" s="16"/>
    </row>
    <row r="33" spans="1:3" x14ac:dyDescent="0.3">
      <c r="A33" s="10" t="s">
        <v>41</v>
      </c>
      <c r="B33" s="11" t="s">
        <v>55</v>
      </c>
      <c r="C33" s="16"/>
    </row>
    <row r="34" spans="1:3" x14ac:dyDescent="0.3">
      <c r="A34" s="10" t="s">
        <v>42</v>
      </c>
      <c r="B34" s="12">
        <f>C17+5</f>
        <v>46178</v>
      </c>
      <c r="C34" s="16"/>
    </row>
    <row r="35" spans="1:3" x14ac:dyDescent="0.3">
      <c r="A35" s="10" t="s">
        <v>50</v>
      </c>
      <c r="B35" s="10" t="str">
        <f>Kent!B34</f>
        <v>Jun-16 to Jun-30, 2026</v>
      </c>
      <c r="C35" s="16"/>
    </row>
    <row r="36" spans="1:3" x14ac:dyDescent="0.3">
      <c r="A36" s="10" t="s">
        <v>63</v>
      </c>
      <c r="B36" s="10">
        <f>COUNTIF(D2:D17, "*:*")</f>
        <v>12</v>
      </c>
      <c r="C36" s="16"/>
    </row>
    <row r="37" spans="1:3" x14ac:dyDescent="0.3">
      <c r="A37" s="13" t="s">
        <v>53</v>
      </c>
      <c r="B37" s="10"/>
      <c r="C37" s="17"/>
    </row>
    <row r="38" spans="1:3" x14ac:dyDescent="0.3">
      <c r="A38" s="10" t="s">
        <v>44</v>
      </c>
      <c r="B38" s="14">
        <f>B23</f>
        <v>2325</v>
      </c>
      <c r="C38" s="16"/>
    </row>
    <row r="39" spans="1:3" x14ac:dyDescent="0.3">
      <c r="A39" s="10" t="s">
        <v>43</v>
      </c>
      <c r="B39" s="14">
        <v>0</v>
      </c>
      <c r="C39" s="16"/>
    </row>
    <row r="40" spans="1:3" x14ac:dyDescent="0.3">
      <c r="A40" s="10" t="s">
        <v>6</v>
      </c>
      <c r="B40" s="14">
        <f>C23</f>
        <v>787.5</v>
      </c>
      <c r="C40" s="16"/>
    </row>
    <row r="41" spans="1:3" x14ac:dyDescent="0.3">
      <c r="A41" s="10" t="s">
        <v>45</v>
      </c>
      <c r="B41" s="14">
        <v>0</v>
      </c>
      <c r="C41" s="16"/>
    </row>
    <row r="42" spans="1:3" x14ac:dyDescent="0.3">
      <c r="A42" s="10"/>
      <c r="B42" s="14"/>
      <c r="C42" s="16"/>
    </row>
    <row r="43" spans="1:3" x14ac:dyDescent="0.3">
      <c r="A43" s="10"/>
      <c r="B43" s="14"/>
      <c r="C43" s="16"/>
    </row>
    <row r="44" spans="1:3" x14ac:dyDescent="0.3">
      <c r="A44" s="10" t="s">
        <v>46</v>
      </c>
      <c r="B44" s="14">
        <f>D23</f>
        <v>3112.5</v>
      </c>
      <c r="C44" s="16"/>
    </row>
    <row r="45" spans="1:3" x14ac:dyDescent="0.3">
      <c r="A45" s="10" t="s">
        <v>47</v>
      </c>
      <c r="B45" s="14">
        <v>0</v>
      </c>
      <c r="C45" s="16"/>
    </row>
    <row r="46" spans="1:3" x14ac:dyDescent="0.3">
      <c r="A46" s="10" t="s">
        <v>52</v>
      </c>
      <c r="B46" s="14">
        <v>0</v>
      </c>
      <c r="C46" s="16"/>
    </row>
    <row r="47" spans="1:3" x14ac:dyDescent="0.3">
      <c r="A47" s="10"/>
      <c r="B47" s="14"/>
      <c r="C47" s="16"/>
    </row>
    <row r="48" spans="1:3" x14ac:dyDescent="0.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</v>
      </c>
      <c r="B2" s="2" t="s">
        <v>18</v>
      </c>
      <c r="C2" s="29" t="s">
        <v>92</v>
      </c>
      <c r="D2" s="5" t="s">
        <v>30</v>
      </c>
      <c r="E2" s="5" t="s">
        <v>85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 x14ac:dyDescent="0.3">
      <c r="A3" t="s">
        <v>10</v>
      </c>
      <c r="B3" s="2" t="s">
        <v>18</v>
      </c>
      <c r="C3" s="29" t="s">
        <v>86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 x14ac:dyDescent="0.3">
      <c r="A4" t="s">
        <v>10</v>
      </c>
      <c r="B4" s="2" t="s">
        <v>18</v>
      </c>
      <c r="C4" s="29" t="s">
        <v>87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 x14ac:dyDescent="0.3">
      <c r="A5" t="s">
        <v>10</v>
      </c>
      <c r="B5" s="2" t="s">
        <v>18</v>
      </c>
      <c r="C5" s="29" t="s">
        <v>88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 x14ac:dyDescent="0.3">
      <c r="A6" t="s">
        <v>10</v>
      </c>
      <c r="B6" s="2" t="s">
        <v>18</v>
      </c>
      <c r="C6" s="29" t="s">
        <v>89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 x14ac:dyDescent="0.3">
      <c r="A7" t="s">
        <v>10</v>
      </c>
      <c r="B7" s="2" t="s">
        <v>18</v>
      </c>
      <c r="C7" s="29" t="s">
        <v>90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 x14ac:dyDescent="0.3">
      <c r="A8" t="s">
        <v>10</v>
      </c>
      <c r="B8" s="2" t="s">
        <v>18</v>
      </c>
      <c r="C8" s="29" t="s">
        <v>91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 x14ac:dyDescent="0.3">
      <c r="A23" s="34" t="s">
        <v>39</v>
      </c>
      <c r="B23" s="34"/>
      <c r="C23" s="15"/>
      <c r="D23" s="9"/>
    </row>
    <row r="24" spans="1:4" x14ac:dyDescent="0.3">
      <c r="A24" s="10" t="s">
        <v>40</v>
      </c>
      <c r="B24" s="11" t="str">
        <f>A2</f>
        <v>Chadiyah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46083</v>
      </c>
      <c r="C26" s="16"/>
    </row>
    <row r="27" spans="1:4" x14ac:dyDescent="0.3">
      <c r="A27" s="10" t="s">
        <v>50</v>
      </c>
      <c r="B27" s="10" t="str">
        <f>Kent!B34</f>
        <v>Jun-16 to Jun-30, 2026</v>
      </c>
      <c r="C27" s="16"/>
    </row>
    <row r="28" spans="1:4" x14ac:dyDescent="0.3">
      <c r="A28" s="10" t="s">
        <v>63</v>
      </c>
      <c r="B28" s="10">
        <f>COUNTIF(D2:D8, "*:*")</f>
        <v>4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1162.1199999999999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143.55600000000001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1305.6759999999999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1305.6759999999999</v>
      </c>
      <c r="C40" s="16"/>
    </row>
    <row r="41" spans="1:3" x14ac:dyDescent="0.3">
      <c r="B41">
        <v>-367</v>
      </c>
    </row>
    <row r="42" spans="1:3" x14ac:dyDescent="0.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  <col min="6" max="12" width="14.6640625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58</v>
      </c>
      <c r="B2" s="2" t="s">
        <v>59</v>
      </c>
      <c r="C2" s="4" t="s">
        <v>71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 x14ac:dyDescent="0.3">
      <c r="A3" t="s">
        <v>58</v>
      </c>
      <c r="B3" s="2" t="s">
        <v>59</v>
      </c>
      <c r="C3" s="4" t="s">
        <v>73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 x14ac:dyDescent="0.3">
      <c r="A4" t="s">
        <v>58</v>
      </c>
      <c r="B4" s="2" t="s">
        <v>59</v>
      </c>
      <c r="C4" s="4" t="s">
        <v>74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 x14ac:dyDescent="0.3">
      <c r="A5" t="s">
        <v>58</v>
      </c>
      <c r="B5" s="2" t="s">
        <v>59</v>
      </c>
      <c r="C5" s="4" t="s">
        <v>75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 x14ac:dyDescent="0.3">
      <c r="A6" t="s">
        <v>58</v>
      </c>
      <c r="B6" s="2" t="s">
        <v>59</v>
      </c>
      <c r="C6" s="4" t="s">
        <v>76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 x14ac:dyDescent="0.3">
      <c r="A7" t="s">
        <v>58</v>
      </c>
      <c r="B7" s="25" t="s">
        <v>61</v>
      </c>
      <c r="C7" s="4" t="s">
        <v>77</v>
      </c>
      <c r="D7" s="23" t="s">
        <v>78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 x14ac:dyDescent="0.3">
      <c r="A8" t="s">
        <v>58</v>
      </c>
      <c r="B8" s="25" t="s">
        <v>61</v>
      </c>
      <c r="C8" s="4" t="s">
        <v>79</v>
      </c>
      <c r="D8" s="23" t="s">
        <v>80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 x14ac:dyDescent="0.3">
      <c r="A23" s="34" t="s">
        <v>39</v>
      </c>
      <c r="B23" s="34"/>
      <c r="C23" s="15"/>
      <c r="D23" s="9"/>
    </row>
    <row r="24" spans="1:4" x14ac:dyDescent="0.3">
      <c r="A24" s="10" t="s">
        <v>40</v>
      </c>
      <c r="B24" s="11" t="str">
        <f>A2</f>
        <v>Lenard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46076</v>
      </c>
      <c r="C26" s="16"/>
    </row>
    <row r="27" spans="1:4" x14ac:dyDescent="0.3">
      <c r="A27" s="10" t="s">
        <v>50</v>
      </c>
      <c r="B27" s="10" t="str">
        <f>Kent!B34</f>
        <v>Jun-16 to Jun-30, 2026</v>
      </c>
      <c r="C27" s="16"/>
    </row>
    <row r="28" spans="1:4" x14ac:dyDescent="0.3">
      <c r="A28" s="10" t="s">
        <v>63</v>
      </c>
      <c r="B28" s="10">
        <f>COUNTIF(D2:D8, "*:*")</f>
        <v>5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658.08233333333317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54.661200000000015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746.1035333333333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 x14ac:dyDescent="0.3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 x14ac:dyDescent="0.3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 x14ac:dyDescent="0.3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 x14ac:dyDescent="0.3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 x14ac:dyDescent="0.3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 x14ac:dyDescent="0.3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 x14ac:dyDescent="0.3">
      <c r="A23" s="34" t="s">
        <v>39</v>
      </c>
      <c r="B23" s="34"/>
      <c r="C23" s="15"/>
      <c r="D23" s="9"/>
    </row>
    <row r="24" spans="1:4" x14ac:dyDescent="0.3">
      <c r="A24" s="10" t="s">
        <v>40</v>
      </c>
      <c r="B24" s="11" t="str">
        <f>A2</f>
        <v>Name</v>
      </c>
      <c r="C24" s="16"/>
    </row>
    <row r="25" spans="1:4" x14ac:dyDescent="0.3">
      <c r="A25" s="10" t="s">
        <v>41</v>
      </c>
      <c r="B25" s="11" t="s">
        <v>49</v>
      </c>
      <c r="C25" s="16"/>
    </row>
    <row r="26" spans="1:4" x14ac:dyDescent="0.3">
      <c r="A26" s="10" t="s">
        <v>42</v>
      </c>
      <c r="B26" s="12">
        <v>46041</v>
      </c>
      <c r="C26" s="16"/>
    </row>
    <row r="27" spans="1:4" x14ac:dyDescent="0.3">
      <c r="A27" s="10" t="s">
        <v>50</v>
      </c>
      <c r="B27" s="10" t="s">
        <v>51</v>
      </c>
      <c r="C27" s="16"/>
    </row>
    <row r="28" spans="1:4" x14ac:dyDescent="0.3">
      <c r="A28" s="10"/>
      <c r="B28" s="10"/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2692.2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807.66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3499.86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 x14ac:dyDescent="0.3"/>
  <cols>
    <col min="3" max="3" width="15.5546875" customWidth="1"/>
  </cols>
  <sheetData>
    <row r="1" spans="1:13" x14ac:dyDescent="0.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 x14ac:dyDescent="0.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 x14ac:dyDescent="0.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 x14ac:dyDescent="0.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 x14ac:dyDescent="0.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 x14ac:dyDescent="0.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 x14ac:dyDescent="0.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 x14ac:dyDescent="0.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 x14ac:dyDescent="0.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 x14ac:dyDescent="0.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 x14ac:dyDescent="0.3"/>
  <sheetData>
    <row r="1" spans="1:12" x14ac:dyDescent="0.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16</v>
      </c>
      <c r="B2" s="2">
        <v>46027</v>
      </c>
      <c r="C2" s="2"/>
      <c r="D2" s="1"/>
      <c r="E2" s="1"/>
    </row>
    <row r="3" spans="1:12" x14ac:dyDescent="0.3">
      <c r="A3" t="s">
        <v>16</v>
      </c>
      <c r="B3" s="2">
        <v>46028</v>
      </c>
      <c r="C3" s="2"/>
      <c r="D3" s="1"/>
      <c r="E3" s="1"/>
    </row>
    <row r="4" spans="1:12" x14ac:dyDescent="0.3">
      <c r="A4" t="s">
        <v>16</v>
      </c>
      <c r="B4" s="2">
        <v>46029</v>
      </c>
      <c r="C4" s="2"/>
      <c r="D4" s="1"/>
      <c r="E4" s="1"/>
    </row>
    <row r="5" spans="1:12" x14ac:dyDescent="0.3">
      <c r="A5" t="s">
        <v>16</v>
      </c>
      <c r="B5" s="2">
        <v>46030</v>
      </c>
      <c r="C5" s="2"/>
      <c r="D5" s="1"/>
      <c r="E5" s="1"/>
    </row>
    <row r="6" spans="1:12" x14ac:dyDescent="0.3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 x14ac:dyDescent="0.3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 x14ac:dyDescent="0.3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 x14ac:dyDescent="0.3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Payslip</vt:lpstr>
      <vt:lpstr>Summary</vt:lpstr>
      <vt:lpstr>Micky</vt:lpstr>
      <vt:lpstr>Kent</vt:lpstr>
      <vt:lpstr>Ralph</vt:lpstr>
      <vt:lpstr>Renelyn</vt:lpstr>
      <vt:lpstr>Cherry</vt:lpstr>
      <vt:lpstr>Nino</vt:lpstr>
      <vt:lpstr>David</vt:lpstr>
      <vt:lpstr>Kris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2026-07-05T00:56:56Z</cp:lastPrinted>
  <dcterms:created xsi:type="dcterms:W3CDTF">2025-12-15T10:27:30Z</dcterms:created>
  <dcterms:modified xsi:type="dcterms:W3CDTF">2026-07-05T06:48:30Z</dcterms:modified>
</cp:coreProperties>
</file>