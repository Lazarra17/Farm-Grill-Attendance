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m Grill BBQ\Salary\"/>
    </mc:Choice>
  </mc:AlternateContent>
  <xr:revisionPtr revIDLastSave="0" documentId="13_ncr:1_{995276B4-1064-48DE-92DF-362285438209}" xr6:coauthVersionLast="47" xr6:coauthVersionMax="47" xr10:uidLastSave="{00000000-0000-0000-0000-000000000000}"/>
  <bookViews>
    <workbookView xWindow="-108" yWindow="-108" windowWidth="23256" windowHeight="13896" xr2:uid="{00BF821E-BFB9-4523-9564-A672F7161683}"/>
  </bookViews>
  <sheets>
    <sheet name="Payslip" sheetId="15" r:id="rId1"/>
    <sheet name="Summary" sheetId="17" r:id="rId2"/>
    <sheet name="Rhea Mae" sheetId="4" r:id="rId3"/>
    <sheet name="Jay Anne" sheetId="3" r:id="rId4"/>
    <sheet name="Kris" sheetId="2" r:id="rId5"/>
    <sheet name="Christian" sheetId="6" r:id="rId6"/>
    <sheet name="Cherry" sheetId="5" r:id="rId7"/>
    <sheet name="Aldrin" sheetId="7" r:id="rId8"/>
    <sheet name="Mark" sheetId="11" r:id="rId9"/>
    <sheet name="Lenard" sheetId="16" r:id="rId10"/>
    <sheet name="Chadiyah" sheetId="1" r:id="rId11"/>
    <sheet name="Template" sheetId="13" r:id="rId12"/>
    <sheet name="Rhoda" sheetId="9" state="hidden" r:id="rId13"/>
    <sheet name="Kenneth" sheetId="8" state="hidden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7" i="15" l="1"/>
  <c r="A87" i="15"/>
  <c r="E67" i="15"/>
  <c r="D67" i="15"/>
  <c r="B67" i="15"/>
  <c r="A67" i="15"/>
  <c r="E47" i="15"/>
  <c r="D47" i="15"/>
  <c r="B47" i="15"/>
  <c r="A47" i="15"/>
  <c r="E26" i="15"/>
  <c r="D26" i="15"/>
  <c r="B26" i="15"/>
  <c r="A26" i="15"/>
  <c r="E6" i="15"/>
  <c r="D6" i="15"/>
  <c r="B6" i="15"/>
  <c r="A6" i="15"/>
  <c r="B28" i="1"/>
  <c r="B28" i="16"/>
  <c r="B86" i="15"/>
  <c r="B28" i="11"/>
  <c r="B28" i="7"/>
  <c r="B28" i="5"/>
  <c r="B28" i="6"/>
  <c r="B28" i="2"/>
  <c r="B28" i="3"/>
  <c r="B28" i="4"/>
  <c r="I8" i="16"/>
  <c r="I5" i="16"/>
  <c r="I2" i="16"/>
  <c r="I7" i="11"/>
  <c r="I3" i="3"/>
  <c r="I4" i="3"/>
  <c r="I5" i="3"/>
  <c r="I6" i="3"/>
  <c r="I7" i="3"/>
  <c r="I8" i="3"/>
  <c r="I2" i="3"/>
  <c r="I3" i="4"/>
  <c r="I4" i="4"/>
  <c r="I5" i="4"/>
  <c r="I6" i="4"/>
  <c r="I7" i="4"/>
  <c r="I8" i="4"/>
  <c r="I2" i="4"/>
  <c r="B26" i="4"/>
  <c r="A10" i="17"/>
  <c r="A9" i="17"/>
  <c r="A8" i="17"/>
  <c r="A7" i="17"/>
  <c r="A6" i="17"/>
  <c r="A5" i="17"/>
  <c r="A4" i="17"/>
  <c r="A3" i="17"/>
  <c r="A2" i="17"/>
  <c r="B26" i="11"/>
  <c r="B65" i="15" s="1"/>
  <c r="B26" i="1"/>
  <c r="E65" i="15" s="1"/>
  <c r="B26" i="16"/>
  <c r="B85" i="15" s="1"/>
  <c r="B26" i="7"/>
  <c r="B26" i="5"/>
  <c r="B45" i="15" s="1"/>
  <c r="B26" i="6"/>
  <c r="E24" i="15" s="1"/>
  <c r="B26" i="2"/>
  <c r="B24" i="15" s="1"/>
  <c r="B26" i="3"/>
  <c r="B4" i="15"/>
  <c r="E66" i="15"/>
  <c r="B84" i="15"/>
  <c r="B90" i="15"/>
  <c r="B92" i="15"/>
  <c r="B96" i="15"/>
  <c r="B97" i="15"/>
  <c r="B83" i="15"/>
  <c r="A84" i="15"/>
  <c r="A85" i="15"/>
  <c r="A86" i="15"/>
  <c r="A88" i="15"/>
  <c r="A89" i="15"/>
  <c r="A90" i="15"/>
  <c r="A91" i="15"/>
  <c r="A92" i="15"/>
  <c r="A95" i="15"/>
  <c r="A96" i="15"/>
  <c r="A97" i="15"/>
  <c r="A99" i="15"/>
  <c r="A83" i="15"/>
  <c r="E99" i="15"/>
  <c r="D99" i="15"/>
  <c r="E97" i="15"/>
  <c r="D97" i="15"/>
  <c r="E96" i="15"/>
  <c r="D96" i="15"/>
  <c r="E95" i="15"/>
  <c r="D95" i="15"/>
  <c r="E92" i="15"/>
  <c r="D92" i="15"/>
  <c r="E91" i="15"/>
  <c r="D91" i="15"/>
  <c r="E90" i="15"/>
  <c r="D90" i="15"/>
  <c r="E89" i="15"/>
  <c r="D89" i="15"/>
  <c r="D88" i="15"/>
  <c r="E86" i="15"/>
  <c r="D86" i="15"/>
  <c r="E85" i="15"/>
  <c r="D85" i="15"/>
  <c r="E84" i="15"/>
  <c r="D84" i="15"/>
  <c r="E83" i="15"/>
  <c r="D83" i="15"/>
  <c r="H5" i="16"/>
  <c r="B24" i="16"/>
  <c r="G8" i="16"/>
  <c r="G7" i="16"/>
  <c r="I7" i="16" s="1"/>
  <c r="G6" i="16"/>
  <c r="I6" i="16" s="1"/>
  <c r="G5" i="16"/>
  <c r="G4" i="16"/>
  <c r="I4" i="16" s="1"/>
  <c r="G3" i="16"/>
  <c r="I3" i="16" s="1"/>
  <c r="G2" i="16"/>
  <c r="H2" i="16" s="1"/>
  <c r="H29" i="7"/>
  <c r="G6" i="6"/>
  <c r="I6" i="6" s="1"/>
  <c r="E4" i="15"/>
  <c r="D64" i="15"/>
  <c r="E64" i="15"/>
  <c r="D65" i="15"/>
  <c r="D66" i="15"/>
  <c r="D68" i="15"/>
  <c r="D69" i="15"/>
  <c r="D70" i="15"/>
  <c r="E70" i="15"/>
  <c r="D71" i="15"/>
  <c r="D72" i="15"/>
  <c r="E72" i="15"/>
  <c r="D75" i="15"/>
  <c r="D76" i="15"/>
  <c r="E76" i="15"/>
  <c r="D77" i="15"/>
  <c r="E77" i="15"/>
  <c r="D79" i="15"/>
  <c r="E63" i="15"/>
  <c r="D63" i="15"/>
  <c r="A64" i="15"/>
  <c r="B64" i="15"/>
  <c r="A65" i="15"/>
  <c r="A66" i="15"/>
  <c r="B66" i="15"/>
  <c r="A68" i="15"/>
  <c r="A69" i="15"/>
  <c r="A70" i="15"/>
  <c r="B70" i="15"/>
  <c r="A71" i="15"/>
  <c r="A72" i="15"/>
  <c r="B72" i="15"/>
  <c r="A75" i="15"/>
  <c r="A76" i="15"/>
  <c r="B76" i="15"/>
  <c r="A77" i="15"/>
  <c r="B77" i="15"/>
  <c r="A79" i="15"/>
  <c r="A63" i="15"/>
  <c r="D44" i="15"/>
  <c r="E44" i="15"/>
  <c r="D45" i="15"/>
  <c r="E45" i="15"/>
  <c r="D46" i="15"/>
  <c r="E46" i="15"/>
  <c r="D48" i="15"/>
  <c r="D49" i="15"/>
  <c r="D50" i="15"/>
  <c r="E50" i="15"/>
  <c r="D51" i="15"/>
  <c r="D52" i="15"/>
  <c r="E52" i="15"/>
  <c r="D55" i="15"/>
  <c r="D56" i="15"/>
  <c r="E56" i="15"/>
  <c r="D57" i="15"/>
  <c r="E57" i="15"/>
  <c r="D59" i="15"/>
  <c r="E43" i="15"/>
  <c r="D43" i="15"/>
  <c r="A59" i="15"/>
  <c r="A55" i="15"/>
  <c r="A56" i="15"/>
  <c r="B56" i="15"/>
  <c r="A57" i="15"/>
  <c r="B57" i="15"/>
  <c r="A44" i="15"/>
  <c r="B44" i="15"/>
  <c r="A45" i="15"/>
  <c r="A46" i="15"/>
  <c r="B46" i="15"/>
  <c r="A48" i="15"/>
  <c r="A49" i="15"/>
  <c r="A50" i="15"/>
  <c r="B50" i="15"/>
  <c r="A51" i="15"/>
  <c r="A52" i="15"/>
  <c r="B52" i="15"/>
  <c r="A43" i="15"/>
  <c r="D38" i="15"/>
  <c r="D23" i="15"/>
  <c r="E23" i="15"/>
  <c r="D24" i="15"/>
  <c r="D25" i="15"/>
  <c r="E25" i="15"/>
  <c r="D27" i="15"/>
  <c r="D28" i="15"/>
  <c r="D29" i="15"/>
  <c r="E29" i="15"/>
  <c r="D30" i="15"/>
  <c r="D31" i="15"/>
  <c r="E31" i="15"/>
  <c r="D34" i="15"/>
  <c r="D35" i="15"/>
  <c r="E35" i="15"/>
  <c r="D36" i="15"/>
  <c r="E36" i="15"/>
  <c r="E22" i="15"/>
  <c r="D22" i="15"/>
  <c r="A23" i="15"/>
  <c r="B23" i="15"/>
  <c r="A24" i="15"/>
  <c r="A25" i="15"/>
  <c r="B25" i="15"/>
  <c r="A27" i="15"/>
  <c r="A28" i="15"/>
  <c r="A29" i="15"/>
  <c r="B29" i="15"/>
  <c r="A30" i="15"/>
  <c r="A31" i="15"/>
  <c r="B31" i="15"/>
  <c r="A34" i="15"/>
  <c r="A35" i="15"/>
  <c r="B35" i="15"/>
  <c r="A36" i="15"/>
  <c r="B36" i="15"/>
  <c r="A38" i="15"/>
  <c r="B22" i="15"/>
  <c r="A22" i="15"/>
  <c r="D3" i="15"/>
  <c r="E3" i="15"/>
  <c r="D4" i="15"/>
  <c r="D5" i="15"/>
  <c r="E5" i="15"/>
  <c r="D7" i="15"/>
  <c r="D8" i="15"/>
  <c r="D9" i="15"/>
  <c r="E9" i="15"/>
  <c r="D10" i="15"/>
  <c r="D11" i="15"/>
  <c r="E11" i="15"/>
  <c r="D14" i="15"/>
  <c r="D15" i="15"/>
  <c r="E15" i="15"/>
  <c r="D16" i="15"/>
  <c r="E16" i="15"/>
  <c r="D18" i="15"/>
  <c r="E2" i="15"/>
  <c r="D2" i="15"/>
  <c r="A3" i="15"/>
  <c r="B3" i="15"/>
  <c r="A4" i="15"/>
  <c r="A5" i="15"/>
  <c r="B5" i="15"/>
  <c r="A7" i="15"/>
  <c r="A8" i="15"/>
  <c r="A9" i="15"/>
  <c r="B9" i="15"/>
  <c r="A10" i="15"/>
  <c r="A11" i="15"/>
  <c r="B11" i="15"/>
  <c r="A14" i="15"/>
  <c r="A15" i="15"/>
  <c r="B15" i="15"/>
  <c r="A16" i="15"/>
  <c r="B16" i="15"/>
  <c r="A18" i="15"/>
  <c r="B2" i="15"/>
  <c r="A2" i="15"/>
  <c r="K3" i="16" l="1"/>
  <c r="H3" i="16"/>
  <c r="J3" i="16" s="1"/>
  <c r="H8" i="16"/>
  <c r="J8" i="16" s="1"/>
  <c r="K8" i="16"/>
  <c r="H7" i="16"/>
  <c r="J7" i="16" s="1"/>
  <c r="K7" i="16"/>
  <c r="H6" i="16"/>
  <c r="J6" i="16" s="1"/>
  <c r="K6" i="16"/>
  <c r="H4" i="16"/>
  <c r="J4" i="16" s="1"/>
  <c r="K2" i="16"/>
  <c r="K4" i="16"/>
  <c r="K5" i="16"/>
  <c r="J2" i="16"/>
  <c r="J5" i="16"/>
  <c r="B24" i="11"/>
  <c r="B63" i="15" s="1"/>
  <c r="B24" i="1"/>
  <c r="B24" i="7"/>
  <c r="B24" i="6"/>
  <c r="B24" i="5"/>
  <c r="B43" i="15" s="1"/>
  <c r="B24" i="3"/>
  <c r="B24" i="2"/>
  <c r="B24" i="13"/>
  <c r="D15" i="13"/>
  <c r="B36" i="13" s="1"/>
  <c r="B40" i="13" s="1"/>
  <c r="C15" i="13"/>
  <c r="B32" i="13" s="1"/>
  <c r="B15" i="13"/>
  <c r="B30" i="13" s="1"/>
  <c r="B24" i="4"/>
  <c r="I3" i="13"/>
  <c r="K3" i="13" s="1"/>
  <c r="I4" i="13"/>
  <c r="I5" i="13"/>
  <c r="I6" i="13"/>
  <c r="K6" i="13" s="1"/>
  <c r="I7" i="13"/>
  <c r="K7" i="13" s="1"/>
  <c r="I8" i="13"/>
  <c r="K8" i="13" s="1"/>
  <c r="G8" i="13"/>
  <c r="H8" i="13" s="1"/>
  <c r="J8" i="13" s="1"/>
  <c r="G7" i="13"/>
  <c r="H7" i="13" s="1"/>
  <c r="J7" i="13" s="1"/>
  <c r="G6" i="13"/>
  <c r="H6" i="13" s="1"/>
  <c r="J6" i="13" s="1"/>
  <c r="G5" i="13"/>
  <c r="G4" i="13"/>
  <c r="H4" i="13" s="1"/>
  <c r="J4" i="13" s="1"/>
  <c r="G3" i="13"/>
  <c r="H3" i="13" s="1"/>
  <c r="J3" i="13" s="1"/>
  <c r="G2" i="13"/>
  <c r="I2" i="13" s="1"/>
  <c r="K2" i="13" s="1"/>
  <c r="G2" i="2"/>
  <c r="I2" i="2" s="1"/>
  <c r="G3" i="2"/>
  <c r="I3" i="2" s="1"/>
  <c r="K3" i="2" s="1"/>
  <c r="G4" i="2"/>
  <c r="I4" i="2" s="1"/>
  <c r="G5" i="2"/>
  <c r="I5" i="2" s="1"/>
  <c r="G6" i="2"/>
  <c r="G7" i="2"/>
  <c r="G8" i="2"/>
  <c r="G8" i="11"/>
  <c r="I8" i="11" s="1"/>
  <c r="K8" i="11" s="1"/>
  <c r="G7" i="11"/>
  <c r="K7" i="11" s="1"/>
  <c r="G6" i="11"/>
  <c r="G5" i="11"/>
  <c r="G4" i="11"/>
  <c r="G3" i="11"/>
  <c r="G2" i="11"/>
  <c r="I2" i="11" s="1"/>
  <c r="G8" i="1"/>
  <c r="G7" i="1"/>
  <c r="I7" i="1" s="1"/>
  <c r="K7" i="1" s="1"/>
  <c r="G6" i="1"/>
  <c r="I6" i="1" s="1"/>
  <c r="K6" i="1" s="1"/>
  <c r="G5" i="1"/>
  <c r="I5" i="1" s="1"/>
  <c r="K5" i="1" s="1"/>
  <c r="G4" i="1"/>
  <c r="I4" i="1" s="1"/>
  <c r="K4" i="1" s="1"/>
  <c r="G3" i="1"/>
  <c r="I3" i="1" s="1"/>
  <c r="K3" i="1" s="1"/>
  <c r="G2" i="1"/>
  <c r="I2" i="1" s="1"/>
  <c r="K2" i="1" s="1"/>
  <c r="G8" i="7"/>
  <c r="G7" i="7"/>
  <c r="G6" i="7"/>
  <c r="I6" i="7" s="1"/>
  <c r="G5" i="7"/>
  <c r="I5" i="7" s="1"/>
  <c r="G4" i="7"/>
  <c r="I4" i="7" s="1"/>
  <c r="G3" i="7"/>
  <c r="I3" i="7" s="1"/>
  <c r="G2" i="7"/>
  <c r="G8" i="6"/>
  <c r="I8" i="6" s="1"/>
  <c r="K8" i="6" s="1"/>
  <c r="G7" i="6"/>
  <c r="I7" i="6" s="1"/>
  <c r="K6" i="6"/>
  <c r="G5" i="6"/>
  <c r="I5" i="6" s="1"/>
  <c r="G4" i="6"/>
  <c r="I4" i="6" s="1"/>
  <c r="G3" i="6"/>
  <c r="I3" i="6" s="1"/>
  <c r="G2" i="6"/>
  <c r="I2" i="6" s="1"/>
  <c r="G8" i="5"/>
  <c r="I8" i="5" s="1"/>
  <c r="G7" i="5"/>
  <c r="I7" i="5" s="1"/>
  <c r="G6" i="5"/>
  <c r="I6" i="5" s="1"/>
  <c r="G5" i="5"/>
  <c r="I5" i="5" s="1"/>
  <c r="G4" i="5"/>
  <c r="I4" i="5" s="1"/>
  <c r="G3" i="5"/>
  <c r="I3" i="5" s="1"/>
  <c r="G2" i="5"/>
  <c r="I2" i="5" s="1"/>
  <c r="G8" i="3"/>
  <c r="K8" i="3" s="1"/>
  <c r="G7" i="3"/>
  <c r="K7" i="3" s="1"/>
  <c r="G6" i="3"/>
  <c r="K6" i="3" s="1"/>
  <c r="G5" i="3"/>
  <c r="G4" i="3"/>
  <c r="G3" i="3"/>
  <c r="K3" i="3" s="1"/>
  <c r="G2" i="3"/>
  <c r="G3" i="4"/>
  <c r="G4" i="4"/>
  <c r="G5" i="4"/>
  <c r="G6" i="4"/>
  <c r="G7" i="4"/>
  <c r="G8" i="4"/>
  <c r="L10" i="9"/>
  <c r="L9" i="8"/>
  <c r="J10" i="9"/>
  <c r="K10" i="9"/>
  <c r="G9" i="9"/>
  <c r="H9" i="9" s="1"/>
  <c r="J9" i="9" s="1"/>
  <c r="I9" i="9"/>
  <c r="K9" i="9" s="1"/>
  <c r="G4" i="9"/>
  <c r="G8" i="9"/>
  <c r="H8" i="9" s="1"/>
  <c r="J8" i="9" s="1"/>
  <c r="I7" i="9"/>
  <c r="K7" i="9" s="1"/>
  <c r="G6" i="9"/>
  <c r="I6" i="9" s="1"/>
  <c r="K6" i="9" s="1"/>
  <c r="G5" i="9"/>
  <c r="I5" i="9" s="1"/>
  <c r="K5" i="9" s="1"/>
  <c r="H4" i="9"/>
  <c r="J4" i="9" s="1"/>
  <c r="G3" i="9"/>
  <c r="I3" i="9" s="1"/>
  <c r="I2" i="9"/>
  <c r="K2" i="9" s="1"/>
  <c r="G8" i="8"/>
  <c r="I8" i="8" s="1"/>
  <c r="G7" i="8"/>
  <c r="I7" i="8" s="1"/>
  <c r="G6" i="8"/>
  <c r="I6" i="8" s="1"/>
  <c r="G2" i="4"/>
  <c r="I8" i="1" l="1"/>
  <c r="K8" i="1" s="1"/>
  <c r="C15" i="1" s="1"/>
  <c r="B32" i="1" s="1"/>
  <c r="E71" i="15" s="1"/>
  <c r="H8" i="1"/>
  <c r="J8" i="1" s="1"/>
  <c r="L8" i="1" s="1"/>
  <c r="I6" i="11"/>
  <c r="K6" i="11" s="1"/>
  <c r="K5" i="11"/>
  <c r="I5" i="11"/>
  <c r="I4" i="11"/>
  <c r="K4" i="11" s="1"/>
  <c r="I3" i="11"/>
  <c r="K3" i="11" s="1"/>
  <c r="H2" i="7"/>
  <c r="J2" i="7" s="1"/>
  <c r="I2" i="7"/>
  <c r="K2" i="7" s="1"/>
  <c r="I7" i="7"/>
  <c r="K7" i="7" s="1"/>
  <c r="I8" i="7"/>
  <c r="K8" i="7" s="1"/>
  <c r="I7" i="2"/>
  <c r="K7" i="2" s="1"/>
  <c r="I8" i="2"/>
  <c r="K8" i="2" s="1"/>
  <c r="I6" i="2"/>
  <c r="K6" i="2" s="1"/>
  <c r="L3" i="16"/>
  <c r="L5" i="16"/>
  <c r="L4" i="16"/>
  <c r="H7" i="1"/>
  <c r="J7" i="1" s="1"/>
  <c r="L7" i="1" s="1"/>
  <c r="H6" i="1"/>
  <c r="J6" i="1" s="1"/>
  <c r="L6" i="1" s="1"/>
  <c r="H3" i="1"/>
  <c r="J3" i="1" s="1"/>
  <c r="L3" i="1" s="1"/>
  <c r="H4" i="1"/>
  <c r="J4" i="1" s="1"/>
  <c r="L4" i="1" s="1"/>
  <c r="H2" i="1"/>
  <c r="J2" i="1" s="1"/>
  <c r="H5" i="1"/>
  <c r="J5" i="1" s="1"/>
  <c r="L5" i="1" s="1"/>
  <c r="L8" i="16"/>
  <c r="L7" i="16"/>
  <c r="C15" i="16"/>
  <c r="B32" i="16" s="1"/>
  <c r="B91" i="15" s="1"/>
  <c r="L2" i="16"/>
  <c r="B15" i="16"/>
  <c r="B30" i="16" s="1"/>
  <c r="B89" i="15" s="1"/>
  <c r="L6" i="16"/>
  <c r="H8" i="11"/>
  <c r="J8" i="11" s="1"/>
  <c r="L8" i="11" s="1"/>
  <c r="H2" i="11"/>
  <c r="J2" i="11" s="1"/>
  <c r="K2" i="11"/>
  <c r="H3" i="11"/>
  <c r="J3" i="11" s="1"/>
  <c r="H4" i="11"/>
  <c r="J4" i="11" s="1"/>
  <c r="H5" i="11"/>
  <c r="J5" i="11" s="1"/>
  <c r="H6" i="11"/>
  <c r="J6" i="11" s="1"/>
  <c r="H4" i="7"/>
  <c r="J4" i="7" s="1"/>
  <c r="K4" i="7"/>
  <c r="H5" i="7"/>
  <c r="J5" i="7" s="1"/>
  <c r="K5" i="7"/>
  <c r="H6" i="7"/>
  <c r="J6" i="7" s="1"/>
  <c r="K6" i="7"/>
  <c r="H3" i="7"/>
  <c r="J3" i="7" s="1"/>
  <c r="K3" i="7"/>
  <c r="H7" i="7"/>
  <c r="H8" i="7"/>
  <c r="H8" i="5"/>
  <c r="J8" i="5" s="1"/>
  <c r="K8" i="5"/>
  <c r="H3" i="5"/>
  <c r="J3" i="5" s="1"/>
  <c r="K3" i="5"/>
  <c r="H7" i="5"/>
  <c r="J7" i="5" s="1"/>
  <c r="K7" i="5"/>
  <c r="K5" i="5"/>
  <c r="H5" i="5"/>
  <c r="J5" i="5" s="1"/>
  <c r="K6" i="5"/>
  <c r="H6" i="5"/>
  <c r="J6" i="5" s="1"/>
  <c r="K2" i="5"/>
  <c r="H2" i="5"/>
  <c r="J2" i="5" s="1"/>
  <c r="H4" i="5"/>
  <c r="J4" i="5" s="1"/>
  <c r="H4" i="6"/>
  <c r="J4" i="6" s="1"/>
  <c r="H6" i="2"/>
  <c r="K2" i="2"/>
  <c r="H2" i="2"/>
  <c r="J2" i="2" s="1"/>
  <c r="H7" i="2"/>
  <c r="H5" i="2"/>
  <c r="J5" i="2" s="1"/>
  <c r="H4" i="2"/>
  <c r="J4" i="2" s="1"/>
  <c r="H3" i="2"/>
  <c r="H8" i="2"/>
  <c r="H8" i="3"/>
  <c r="J8" i="3" s="1"/>
  <c r="L8" i="3" s="1"/>
  <c r="H5" i="3"/>
  <c r="J5" i="3" s="1"/>
  <c r="K5" i="3"/>
  <c r="H7" i="3"/>
  <c r="J7" i="3" s="1"/>
  <c r="L7" i="3" s="1"/>
  <c r="H2" i="3"/>
  <c r="J2" i="3" s="1"/>
  <c r="H6" i="3"/>
  <c r="J6" i="3" s="1"/>
  <c r="L6" i="3" s="1"/>
  <c r="H3" i="3"/>
  <c r="J3" i="3" s="1"/>
  <c r="L3" i="3" s="1"/>
  <c r="H4" i="3"/>
  <c r="J4" i="3" s="1"/>
  <c r="K4" i="3"/>
  <c r="K8" i="4"/>
  <c r="H8" i="4"/>
  <c r="J8" i="4" s="1"/>
  <c r="L8" i="4" s="1"/>
  <c r="K5" i="4"/>
  <c r="H5" i="4"/>
  <c r="J5" i="4" s="1"/>
  <c r="H3" i="4"/>
  <c r="J3" i="4" s="1"/>
  <c r="H7" i="11"/>
  <c r="J7" i="11" s="1"/>
  <c r="K4" i="5"/>
  <c r="K7" i="4"/>
  <c r="H7" i="4"/>
  <c r="J7" i="4" s="1"/>
  <c r="H6" i="4"/>
  <c r="J6" i="4" s="1"/>
  <c r="H4" i="4"/>
  <c r="J4" i="4" s="1"/>
  <c r="K4" i="4"/>
  <c r="K2" i="4"/>
  <c r="H2" i="4"/>
  <c r="J2" i="4" s="1"/>
  <c r="H6" i="6"/>
  <c r="J6" i="6" s="1"/>
  <c r="L6" i="6" s="1"/>
  <c r="H8" i="6"/>
  <c r="J8" i="6" s="1"/>
  <c r="L8" i="6" s="1"/>
  <c r="K2" i="6"/>
  <c r="H2" i="6"/>
  <c r="J2" i="6" s="1"/>
  <c r="K3" i="6"/>
  <c r="H3" i="6"/>
  <c r="J3" i="6" s="1"/>
  <c r="K5" i="6"/>
  <c r="H5" i="6"/>
  <c r="J5" i="6" s="1"/>
  <c r="H7" i="6"/>
  <c r="J7" i="6" s="1"/>
  <c r="K7" i="6"/>
  <c r="K4" i="6"/>
  <c r="K5" i="2"/>
  <c r="K4" i="2"/>
  <c r="L3" i="13"/>
  <c r="K5" i="13"/>
  <c r="L6" i="13"/>
  <c r="L7" i="13"/>
  <c r="L8" i="13"/>
  <c r="K4" i="13"/>
  <c r="H2" i="13"/>
  <c r="J2" i="13" s="1"/>
  <c r="H5" i="13"/>
  <c r="J5" i="13" s="1"/>
  <c r="L5" i="13" s="1"/>
  <c r="K2" i="3"/>
  <c r="K3" i="4"/>
  <c r="K6" i="4"/>
  <c r="L9" i="9"/>
  <c r="H6" i="9"/>
  <c r="J6" i="9" s="1"/>
  <c r="L6" i="9" s="1"/>
  <c r="H7" i="9"/>
  <c r="J7" i="9" s="1"/>
  <c r="I8" i="9"/>
  <c r="L8" i="9" s="1"/>
  <c r="L7" i="9"/>
  <c r="I4" i="9"/>
  <c r="K4" i="9" s="1"/>
  <c r="L4" i="9" s="1"/>
  <c r="H5" i="9"/>
  <c r="J5" i="9" s="1"/>
  <c r="L5" i="9" s="1"/>
  <c r="H3" i="9"/>
  <c r="J3" i="9" s="1"/>
  <c r="H2" i="9"/>
  <c r="J2" i="9" s="1"/>
  <c r="L2" i="9" s="1"/>
  <c r="H7" i="8"/>
  <c r="J7" i="8" s="1"/>
  <c r="L7" i="8" s="1"/>
  <c r="H8" i="8"/>
  <c r="J8" i="8" s="1"/>
  <c r="L8" i="8" s="1"/>
  <c r="H6" i="8"/>
  <c r="J6" i="8" s="1"/>
  <c r="L6" i="8" s="1"/>
  <c r="L6" i="11" l="1"/>
  <c r="L5" i="11"/>
  <c r="L3" i="11"/>
  <c r="L7" i="4"/>
  <c r="L6" i="5"/>
  <c r="L8" i="5"/>
  <c r="L5" i="6"/>
  <c r="J3" i="2"/>
  <c r="L3" i="2" s="1"/>
  <c r="L2" i="1"/>
  <c r="D15" i="1" s="1"/>
  <c r="B15" i="1"/>
  <c r="B30" i="1" s="1"/>
  <c r="E69" i="15" s="1"/>
  <c r="D15" i="16"/>
  <c r="C15" i="11"/>
  <c r="B32" i="11" s="1"/>
  <c r="B71" i="15" s="1"/>
  <c r="J8" i="7"/>
  <c r="L8" i="7" s="1"/>
  <c r="J7" i="7"/>
  <c r="L7" i="7" s="1"/>
  <c r="L6" i="7"/>
  <c r="L3" i="7"/>
  <c r="C15" i="7"/>
  <c r="B32" i="7" s="1"/>
  <c r="E51" i="15" s="1"/>
  <c r="L5" i="7"/>
  <c r="L7" i="5"/>
  <c r="L3" i="5"/>
  <c r="L3" i="6"/>
  <c r="J8" i="2"/>
  <c r="L8" i="2" s="1"/>
  <c r="J7" i="2"/>
  <c r="L7" i="2" s="1"/>
  <c r="J6" i="2"/>
  <c r="L6" i="2" s="1"/>
  <c r="C15" i="2"/>
  <c r="B32" i="2" s="1"/>
  <c r="B30" i="15" s="1"/>
  <c r="L5" i="2"/>
  <c r="L5" i="3"/>
  <c r="L4" i="3"/>
  <c r="L5" i="4"/>
  <c r="L3" i="4"/>
  <c r="L4" i="4"/>
  <c r="L7" i="11"/>
  <c r="L4" i="5"/>
  <c r="C15" i="5"/>
  <c r="B32" i="5" s="1"/>
  <c r="B51" i="15" s="1"/>
  <c r="L5" i="5"/>
  <c r="L6" i="4"/>
  <c r="L7" i="6"/>
  <c r="C15" i="6"/>
  <c r="B32" i="6" s="1"/>
  <c r="E30" i="15" s="1"/>
  <c r="B15" i="4"/>
  <c r="B30" i="4" s="1"/>
  <c r="B8" i="15" s="1"/>
  <c r="C15" i="4"/>
  <c r="B32" i="4" s="1"/>
  <c r="B10" i="15" s="1"/>
  <c r="L4" i="11"/>
  <c r="L4" i="7"/>
  <c r="L2" i="11"/>
  <c r="B15" i="11"/>
  <c r="B30" i="11" s="1"/>
  <c r="B69" i="15" s="1"/>
  <c r="L2" i="7"/>
  <c r="L4" i="6"/>
  <c r="L2" i="6"/>
  <c r="B15" i="6"/>
  <c r="B30" i="6" s="1"/>
  <c r="E28" i="15" s="1"/>
  <c r="L4" i="2"/>
  <c r="L2" i="2"/>
  <c r="L2" i="5"/>
  <c r="B15" i="5"/>
  <c r="B30" i="5" s="1"/>
  <c r="B49" i="15" s="1"/>
  <c r="B15" i="3"/>
  <c r="B30" i="3" s="1"/>
  <c r="E8" i="15" s="1"/>
  <c r="L2" i="3"/>
  <c r="C15" i="3"/>
  <c r="B32" i="3" s="1"/>
  <c r="E10" i="15" s="1"/>
  <c r="L4" i="13"/>
  <c r="L2" i="13"/>
  <c r="L2" i="4"/>
  <c r="B36" i="1" l="1"/>
  <c r="B40" i="1" s="1"/>
  <c r="E79" i="15" s="1"/>
  <c r="B10" i="17"/>
  <c r="B36" i="16"/>
  <c r="B40" i="16" s="1"/>
  <c r="B99" i="15" s="1"/>
  <c r="B9" i="17"/>
  <c r="B15" i="2"/>
  <c r="B30" i="2" s="1"/>
  <c r="B28" i="15" s="1"/>
  <c r="D15" i="11"/>
  <c r="B15" i="7"/>
  <c r="B30" i="7" s="1"/>
  <c r="E49" i="15" s="1"/>
  <c r="D15" i="7"/>
  <c r="D15" i="5"/>
  <c r="D15" i="3"/>
  <c r="D15" i="6"/>
  <c r="D15" i="4"/>
  <c r="D15" i="2"/>
  <c r="E75" i="15" l="1"/>
  <c r="B95" i="15"/>
  <c r="B36" i="11"/>
  <c r="B40" i="11" s="1"/>
  <c r="B79" i="15" s="1"/>
  <c r="B8" i="17"/>
  <c r="B36" i="7"/>
  <c r="B40" i="7" s="1"/>
  <c r="E59" i="15" s="1"/>
  <c r="B7" i="17"/>
  <c r="B36" i="5"/>
  <c r="B40" i="5" s="1"/>
  <c r="B59" i="15" s="1"/>
  <c r="B6" i="17"/>
  <c r="B36" i="6"/>
  <c r="B40" i="6" s="1"/>
  <c r="E38" i="15" s="1"/>
  <c r="B5" i="17"/>
  <c r="B36" i="2"/>
  <c r="B40" i="2" s="1"/>
  <c r="B38" i="15" s="1"/>
  <c r="B4" i="17"/>
  <c r="B36" i="3"/>
  <c r="E14" i="15" s="1"/>
  <c r="B3" i="17"/>
  <c r="B36" i="4"/>
  <c r="B40" i="4" s="1"/>
  <c r="B18" i="15" s="1"/>
  <c r="B2" i="17"/>
  <c r="B75" i="15"/>
  <c r="E34" i="15" l="1"/>
  <c r="B34" i="15"/>
  <c r="E55" i="15"/>
  <c r="B55" i="15"/>
  <c r="B40" i="3"/>
  <c r="E18" i="15" s="1"/>
  <c r="B11" i="17"/>
  <c r="B14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6D549F32-83DA-49E0-8754-B02881213B26}">
      <text>
        <r>
          <rPr>
            <b/>
            <sz val="9"/>
            <color indexed="81"/>
            <rFont val="Tahoma"/>
            <charset val="1"/>
          </rPr>
          <t>Chad Nico Lazarra:</t>
        </r>
        <r>
          <rPr>
            <sz val="9"/>
            <color indexed="81"/>
            <rFont val="Tahoma"/>
            <charset val="1"/>
          </rPr>
          <t xml:space="preserve">
Fix 8 hours
</t>
        </r>
      </text>
    </comment>
  </commentList>
</comments>
</file>

<file path=xl/sharedStrings.xml><?xml version="1.0" encoding="utf-8"?>
<sst xmlns="http://schemas.openxmlformats.org/spreadsheetml/2006/main" count="749" uniqueCount="109">
  <si>
    <t>Time In</t>
  </si>
  <si>
    <t>Hourly Rate</t>
  </si>
  <si>
    <t>Total Hours</t>
  </si>
  <si>
    <t>Regular Hours</t>
  </si>
  <si>
    <t>Overtime Hours</t>
  </si>
  <si>
    <t>Regular Pay</t>
  </si>
  <si>
    <t>Overtime Pay</t>
  </si>
  <si>
    <t>Total Pay</t>
  </si>
  <si>
    <t>Time Out</t>
  </si>
  <si>
    <t xml:space="preserve">Employee </t>
  </si>
  <si>
    <t>Chadiyah</t>
  </si>
  <si>
    <t>Date</t>
  </si>
  <si>
    <t>Jay Anne</t>
  </si>
  <si>
    <t>Rhoda</t>
  </si>
  <si>
    <t>Rhea Mae</t>
  </si>
  <si>
    <t>Cherry</t>
  </si>
  <si>
    <t>Christian</t>
  </si>
  <si>
    <t>Aldrin</t>
  </si>
  <si>
    <t>Kenneth</t>
  </si>
  <si>
    <t>Shift</t>
  </si>
  <si>
    <t>8:30AM-9:00PM</t>
  </si>
  <si>
    <t>10:00AM-9:00PM</t>
  </si>
  <si>
    <t>9:00AM-7:00PM</t>
  </si>
  <si>
    <t>doublepay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</si>
  <si>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</si>
  <si>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</si>
  <si>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</si>
  <si>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</si>
  <si>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</si>
  <si>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</si>
  <si>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</si>
  <si>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10:00</t>
  </si>
  <si>
    <t>22:00</t>
  </si>
  <si>
    <t>08:30</t>
  </si>
  <si>
    <t>0</t>
  </si>
  <si>
    <t>Kris Naynayan</t>
  </si>
  <si>
    <t>Mark</t>
  </si>
  <si>
    <t>SUMMARY</t>
  </si>
  <si>
    <t>REGULAR PAY</t>
  </si>
  <si>
    <t>OVER TIME PAY</t>
  </si>
  <si>
    <t>TOTAL PAY</t>
  </si>
  <si>
    <t>Name</t>
  </si>
  <si>
    <t>PAYROLL SLIP</t>
  </si>
  <si>
    <t>Name:</t>
  </si>
  <si>
    <t>Job Title:</t>
  </si>
  <si>
    <t>Payment Date:</t>
  </si>
  <si>
    <t>Bonus/Incentives</t>
  </si>
  <si>
    <t>Basic Pay</t>
  </si>
  <si>
    <t>Other Income</t>
  </si>
  <si>
    <t>Gross Pay</t>
  </si>
  <si>
    <t>Deductions</t>
  </si>
  <si>
    <t>Net Pay</t>
  </si>
  <si>
    <t>Store Manager</t>
  </si>
  <si>
    <t>Cut Off Period:</t>
  </si>
  <si>
    <t>Jan-12 to Jan-28, 2026</t>
  </si>
  <si>
    <t>WH Tax</t>
  </si>
  <si>
    <t>Adjustments</t>
  </si>
  <si>
    <t>21:30</t>
  </si>
  <si>
    <t>20:00</t>
  </si>
  <si>
    <t>Staff</t>
  </si>
  <si>
    <t>Cashier</t>
  </si>
  <si>
    <t>21:00</t>
  </si>
  <si>
    <t>20:30</t>
  </si>
  <si>
    <t>Lenard</t>
  </si>
  <si>
    <t>5:00PM-10:00PM</t>
  </si>
  <si>
    <t>17:00</t>
  </si>
  <si>
    <t>9:30AM-10:00PM</t>
  </si>
  <si>
    <t>18:30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</si>
  <si>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</si>
  <si>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</si>
  <si>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</si>
  <si>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</si>
  <si>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</si>
  <si>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</si>
  <si>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</si>
  <si>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19:30</t>
  </si>
  <si>
    <t>Jan-26 to Feb-01, 2026</t>
  </si>
  <si>
    <t>09:00</t>
  </si>
  <si>
    <t>Employee</t>
  </si>
  <si>
    <t>2026-02-02</t>
  </si>
  <si>
    <t>13:07</t>
  </si>
  <si>
    <t>2026-02-03</t>
  </si>
  <si>
    <t>2026-02-04</t>
  </si>
  <si>
    <t>2026-02-05</t>
  </si>
  <si>
    <t>2026-02-06</t>
  </si>
  <si>
    <t>2026-02-07</t>
  </si>
  <si>
    <t>2026-02-08</t>
  </si>
  <si>
    <t>Feb-2 to Feb-08, 2026</t>
  </si>
  <si>
    <t>10:06</t>
  </si>
  <si>
    <t>10:01</t>
  </si>
  <si>
    <t>10:12</t>
  </si>
  <si>
    <t>10:07</t>
  </si>
  <si>
    <t>11:01</t>
  </si>
  <si>
    <t>16:13</t>
  </si>
  <si>
    <t>08:38</t>
  </si>
  <si>
    <t>08:35</t>
  </si>
  <si>
    <t>20:49</t>
  </si>
  <si>
    <t>08:45</t>
  </si>
  <si>
    <t>08:33</t>
  </si>
  <si>
    <t>21:24</t>
  </si>
  <si>
    <t>08:59</t>
  </si>
  <si>
    <t>10:28</t>
  </si>
  <si>
    <t>10:37</t>
  </si>
  <si>
    <t>8:30</t>
  </si>
  <si>
    <t>15:00</t>
  </si>
  <si>
    <t>08:50</t>
  </si>
  <si>
    <t>18:00</t>
  </si>
  <si>
    <t>17:30</t>
  </si>
  <si>
    <t>Days Worked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</si>
</sst>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dd\-yyyy"/>
    <numFmt numFmtId="165" formatCode="&quot;₱&quot;#,##0.00"/>
    <numFmt numFmtId="166" formatCode="mmm\-dd\-yy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charset val="134"/>
    </font>
    <font>
      <sz val="8"/>
      <color indexed="10"/>
      <name val="Arial"/>
      <charset val="134"/>
    </font>
    <font>
      <sz val="8"/>
      <color theme="1"/>
      <name val="Arial"/>
      <family val="2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color rgb="FFFF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18" fontId="0" fillId="0" borderId="0" xfId="0" applyNumberFormat="1"/>
    <xf numFmtId="16" fontId="0" fillId="0" borderId="0" xfId="0" applyNumberFormat="1"/>
    <xf numFmtId="0" fontId="0" fillId="2" borderId="0" xfId="0" applyFill="1"/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0" xfId="0" applyFont="1"/>
    <xf numFmtId="2" fontId="0" fillId="0" borderId="0" xfId="0" applyNumberFormat="1"/>
    <xf numFmtId="4" fontId="0" fillId="0" borderId="0" xfId="0" applyNumberFormat="1"/>
    <xf numFmtId="0" fontId="1" fillId="0" borderId="0" xfId="0" applyFont="1" applyAlignment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/>
    <xf numFmtId="165" fontId="0" fillId="0" borderId="1" xfId="0" applyNumberFormat="1" applyBorder="1"/>
    <xf numFmtId="0" fontId="1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49" fontId="2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2" fontId="0" fillId="0" borderId="1" xfId="0" applyNumberFormat="1" applyBorder="1"/>
    <xf numFmtId="166" fontId="0" fillId="0" borderId="1" xfId="0" applyNumberFormat="1" applyBorder="1" applyAlignment="1">
      <alignment horizontal="left"/>
    </xf>
    <xf numFmtId="2" fontId="1" fillId="0" borderId="1" xfId="0" applyNumberFormat="1" applyFont="1" applyBorder="1"/>
    <xf numFmtId="2" fontId="0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2" fontId="0" fillId="2" borderId="0" xfId="0" applyNumberFormat="1" applyFill="1"/>
    <xf numFmtId="16" fontId="0" fillId="2" borderId="0" xfId="0" applyNumberFormat="1" applyFill="1"/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E7A6-6551-48E3-919D-654A6320DEB2}">
  <dimension ref="A1:E99"/>
  <sheetViews>
    <sheetView tabSelected="1" view="pageBreakPreview" topLeftCell="A43" zoomScale="130" zoomScaleNormal="100" zoomScaleSheetLayoutView="130" workbookViewId="0">
      <selection activeCell="B59" sqref="B59"/>
    </sheetView>
  </sheetViews>
  <sheetFormatPr defaultRowHeight="14.4"/>
  <cols>
    <col min="1" max="1" width="15.109375" bestFit="1" customWidth="1"/>
    <col min="2" max="2" width="19.44140625" bestFit="1" customWidth="1"/>
    <col min="4" max="4" width="15.109375" bestFit="1" customWidth="1"/>
    <col min="5" max="5" width="19.44140625" bestFit="1" customWidth="1"/>
  </cols>
  <sheetData>
    <row r="1" spans="1:5" ht="17.399999999999999">
      <c r="A1" s="29" t="s">
        <v>42</v>
      </c>
      <c r="B1" s="29"/>
      <c r="D1" s="29" t="s">
        <v>42</v>
      </c>
      <c r="E1" s="29"/>
    </row>
    <row r="2" spans="1:5">
      <c r="A2" s="20" t="str">
        <f>'Rhea Mae'!A24</f>
        <v>Name:</v>
      </c>
      <c r="B2" s="20" t="str">
        <f>'Rhea Mae'!B24</f>
        <v>Rhea Mae</v>
      </c>
      <c r="C2" s="7"/>
      <c r="D2" s="20" t="str">
        <f>'Jay Anne'!A24</f>
        <v>Name:</v>
      </c>
      <c r="E2" s="20" t="str">
        <f>'Jay Anne'!B24</f>
        <v>Jay Anne</v>
      </c>
    </row>
    <row r="3" spans="1:5">
      <c r="A3" s="20" t="str">
        <f>'Rhea Mae'!A25</f>
        <v>Job Title:</v>
      </c>
      <c r="B3" s="20" t="str">
        <f>'Rhea Mae'!B25</f>
        <v>Store Manager</v>
      </c>
      <c r="C3" s="7"/>
      <c r="D3" s="20" t="str">
        <f>'Jay Anne'!A25</f>
        <v>Job Title:</v>
      </c>
      <c r="E3" s="20" t="str">
        <f>'Jay Anne'!B25</f>
        <v>Cashier</v>
      </c>
    </row>
    <row r="4" spans="1:5">
      <c r="A4" s="20" t="str">
        <f>'Rhea Mae'!A26</f>
        <v>Payment Date:</v>
      </c>
      <c r="B4" s="21">
        <f>'Rhea Mae'!B26</f>
        <v>46062</v>
      </c>
      <c r="C4" s="7"/>
      <c r="D4" s="20" t="str">
        <f>'Jay Anne'!A26</f>
        <v>Payment Date:</v>
      </c>
      <c r="E4" s="21">
        <f>'Jay Anne'!B26</f>
        <v>46062</v>
      </c>
    </row>
    <row r="5" spans="1:5">
      <c r="A5" s="20" t="str">
        <f>'Rhea Mae'!A27</f>
        <v>Cut Off Period:</v>
      </c>
      <c r="B5" s="20" t="str">
        <f>'Rhea Mae'!B27</f>
        <v>Feb-2 to Feb-08, 2026</v>
      </c>
      <c r="C5" s="7"/>
      <c r="D5" s="20" t="str">
        <f>'Jay Anne'!A27</f>
        <v>Cut Off Period:</v>
      </c>
      <c r="E5" s="20" t="str">
        <f>'Jay Anne'!B27</f>
        <v>Feb-2 to Feb-08, 2026</v>
      </c>
    </row>
    <row r="6" spans="1:5">
      <c r="A6" s="20" t="str">
        <f>'Rhea Mae'!A28</f>
        <v>Days Worked</v>
      </c>
      <c r="B6" s="20">
        <f>'Rhea Mae'!B28</f>
        <v>4</v>
      </c>
      <c r="C6" s="7"/>
      <c r="D6" s="20" t="str">
        <f>'Jay Anne'!A28</f>
        <v>Days Worked</v>
      </c>
      <c r="E6" s="20">
        <f>'Jay Anne'!B28</f>
        <v>6</v>
      </c>
    </row>
    <row r="7" spans="1:5">
      <c r="A7" s="22" t="str">
        <f>'Rhea Mae'!A29</f>
        <v>Adjustments</v>
      </c>
      <c r="B7" s="20"/>
      <c r="C7" s="7"/>
      <c r="D7" s="22" t="str">
        <f>'Jay Anne'!A29</f>
        <v>Adjustments</v>
      </c>
      <c r="E7" s="20"/>
    </row>
    <row r="8" spans="1:5">
      <c r="A8" s="20" t="str">
        <f>'Rhea Mae'!A30</f>
        <v>Basic Pay</v>
      </c>
      <c r="B8" s="14">
        <f>'Rhea Mae'!B30</f>
        <v>1341.6130000000001</v>
      </c>
      <c r="C8" s="7"/>
      <c r="D8" s="20" t="str">
        <f>'Jay Anne'!A30</f>
        <v>Basic Pay</v>
      </c>
      <c r="E8" s="14">
        <f>'Jay Anne'!B30</f>
        <v>1615.14</v>
      </c>
    </row>
    <row r="9" spans="1:5">
      <c r="A9" s="20" t="str">
        <f>'Rhea Mae'!A31</f>
        <v>Bonus/Incentives</v>
      </c>
      <c r="B9" s="14">
        <f>'Rhea Mae'!B31</f>
        <v>0</v>
      </c>
      <c r="C9" s="7"/>
      <c r="D9" s="20" t="str">
        <f>'Jay Anne'!A31</f>
        <v>Bonus/Incentives</v>
      </c>
      <c r="E9" s="14">
        <f>'Jay Anne'!B31</f>
        <v>0</v>
      </c>
    </row>
    <row r="10" spans="1:5">
      <c r="A10" s="20" t="str">
        <f>'Rhea Mae'!A32</f>
        <v>Overtime Pay</v>
      </c>
      <c r="B10" s="14">
        <f>'Rhea Mae'!B32</f>
        <v>415.36799999999999</v>
      </c>
      <c r="C10" s="7"/>
      <c r="D10" s="20" t="str">
        <f>'Jay Anne'!A32</f>
        <v>Overtime Pay</v>
      </c>
      <c r="E10" s="14">
        <f>'Jay Anne'!B32</f>
        <v>163.90679999999992</v>
      </c>
    </row>
    <row r="11" spans="1:5">
      <c r="A11" s="20" t="str">
        <f>'Rhea Mae'!A33</f>
        <v>Other Income</v>
      </c>
      <c r="B11" s="14">
        <f>'Rhea Mae'!B33</f>
        <v>0</v>
      </c>
      <c r="C11" s="7"/>
      <c r="D11" s="20" t="str">
        <f>'Jay Anne'!A33</f>
        <v>Other Income</v>
      </c>
      <c r="E11" s="14">
        <f>'Jay Anne'!B33</f>
        <v>0</v>
      </c>
    </row>
    <row r="12" spans="1:5">
      <c r="A12" s="20"/>
      <c r="B12" s="14"/>
      <c r="C12" s="7"/>
      <c r="D12" s="20"/>
      <c r="E12" s="14"/>
    </row>
    <row r="13" spans="1:5">
      <c r="A13" s="20"/>
      <c r="B13" s="14"/>
      <c r="C13" s="7"/>
      <c r="D13" s="20"/>
      <c r="E13" s="14"/>
    </row>
    <row r="14" spans="1:5">
      <c r="A14" s="23" t="str">
        <f>'Rhea Mae'!A36</f>
        <v>Gross Pay</v>
      </c>
      <c r="B14" s="14">
        <f>'Rhea Mae'!B36</f>
        <v>1756.981</v>
      </c>
      <c r="C14" s="7"/>
      <c r="D14" s="23" t="str">
        <f>'Jay Anne'!A36</f>
        <v>Gross Pay</v>
      </c>
      <c r="E14" s="14">
        <f>'Jay Anne'!B36</f>
        <v>1779.0467999999998</v>
      </c>
    </row>
    <row r="15" spans="1:5">
      <c r="A15" s="20" t="str">
        <f>'Rhea Mae'!A37</f>
        <v>Deductions</v>
      </c>
      <c r="B15" s="14">
        <f>'Rhea Mae'!B37</f>
        <v>0</v>
      </c>
      <c r="C15" s="7"/>
      <c r="D15" s="20" t="str">
        <f>'Jay Anne'!A37</f>
        <v>Deductions</v>
      </c>
      <c r="E15" s="14">
        <f>'Jay Anne'!B37</f>
        <v>0</v>
      </c>
    </row>
    <row r="16" spans="1:5">
      <c r="A16" s="20" t="str">
        <f>'Rhea Mae'!A38</f>
        <v>WH Tax</v>
      </c>
      <c r="B16" s="14">
        <f>'Rhea Mae'!B38</f>
        <v>0</v>
      </c>
      <c r="C16" s="7"/>
      <c r="D16" s="20" t="str">
        <f>'Jay Anne'!A38</f>
        <v>WH Tax</v>
      </c>
      <c r="E16" s="14">
        <f>'Jay Anne'!B38</f>
        <v>0</v>
      </c>
    </row>
    <row r="17" spans="1:5">
      <c r="A17" s="20"/>
      <c r="B17" s="14"/>
      <c r="C17" s="7"/>
      <c r="D17" s="20"/>
      <c r="E17" s="14"/>
    </row>
    <row r="18" spans="1:5">
      <c r="A18" s="22" t="str">
        <f>'Rhea Mae'!A40</f>
        <v>Net Pay</v>
      </c>
      <c r="B18" s="14">
        <f>'Rhea Mae'!B40</f>
        <v>1756.981</v>
      </c>
      <c r="C18" s="7"/>
      <c r="D18" s="22" t="str">
        <f>'Jay Anne'!A40</f>
        <v>Net Pay</v>
      </c>
      <c r="E18" s="14">
        <f>'Jay Anne'!B40</f>
        <v>1779.0467999999998</v>
      </c>
    </row>
    <row r="19" spans="1:5">
      <c r="A19" s="7"/>
      <c r="B19" s="7"/>
      <c r="C19" s="7"/>
      <c r="D19" s="7"/>
      <c r="E19" s="7"/>
    </row>
    <row r="20" spans="1:5">
      <c r="A20" s="7"/>
      <c r="B20" s="7"/>
      <c r="C20" s="7"/>
      <c r="D20" s="7"/>
      <c r="E20" s="7"/>
    </row>
    <row r="21" spans="1:5" ht="17.399999999999999">
      <c r="A21" s="29" t="s">
        <v>42</v>
      </c>
      <c r="B21" s="29"/>
      <c r="D21" s="29" t="s">
        <v>42</v>
      </c>
      <c r="E21" s="29"/>
    </row>
    <row r="22" spans="1:5">
      <c r="A22" s="20" t="str">
        <f>Kris!A24</f>
        <v>Name:</v>
      </c>
      <c r="B22" s="20" t="str">
        <f>Kris!B24</f>
        <v>Kris Naynayan</v>
      </c>
      <c r="C22" s="7"/>
      <c r="D22" s="20" t="str">
        <f>Christian!A24</f>
        <v>Name:</v>
      </c>
      <c r="E22" s="20" t="str">
        <f>Christian!B24</f>
        <v>Christian</v>
      </c>
    </row>
    <row r="23" spans="1:5">
      <c r="A23" s="20" t="str">
        <f>Kris!A25</f>
        <v>Job Title:</v>
      </c>
      <c r="B23" s="20" t="str">
        <f>Kris!B25</f>
        <v>Staff</v>
      </c>
      <c r="C23" s="7"/>
      <c r="D23" s="20" t="str">
        <f>Christian!A25</f>
        <v>Job Title:</v>
      </c>
      <c r="E23" s="20" t="str">
        <f>Christian!B25</f>
        <v>Staff</v>
      </c>
    </row>
    <row r="24" spans="1:5">
      <c r="A24" s="20" t="str">
        <f>Kris!A26</f>
        <v>Payment Date:</v>
      </c>
      <c r="B24" s="21">
        <f>Kris!B26</f>
        <v>46062</v>
      </c>
      <c r="C24" s="7"/>
      <c r="D24" s="20" t="str">
        <f>Christian!A26</f>
        <v>Payment Date:</v>
      </c>
      <c r="E24" s="21">
        <f>Christian!B26</f>
        <v>46062</v>
      </c>
    </row>
    <row r="25" spans="1:5">
      <c r="A25" s="20" t="str">
        <f>Kris!A27</f>
        <v>Cut Off Period:</v>
      </c>
      <c r="B25" s="20" t="str">
        <f>Kris!B27</f>
        <v>Feb-2 to Feb-08, 2026</v>
      </c>
      <c r="C25" s="7"/>
      <c r="D25" s="20" t="str">
        <f>Christian!A27</f>
        <v>Cut Off Period:</v>
      </c>
      <c r="E25" s="20" t="str">
        <f>Christian!B27</f>
        <v>Feb-2 to Feb-08, 2026</v>
      </c>
    </row>
    <row r="26" spans="1:5">
      <c r="A26" s="20" t="str">
        <f>Kris!A28</f>
        <v>Days Worked</v>
      </c>
      <c r="B26" s="20">
        <f>Kris!B28</f>
        <v>5</v>
      </c>
      <c r="C26" s="7"/>
      <c r="D26" s="20" t="str">
        <f>Christian!A28</f>
        <v>Days Worked</v>
      </c>
      <c r="E26" s="20">
        <f>Christian!B28</f>
        <v>6</v>
      </c>
    </row>
    <row r="27" spans="1:5">
      <c r="A27" s="22" t="str">
        <f>Kris!A29</f>
        <v>Adjustments</v>
      </c>
      <c r="B27" s="20"/>
      <c r="C27" s="7"/>
      <c r="D27" s="20" t="str">
        <f>Christian!A29</f>
        <v>Adjustments</v>
      </c>
      <c r="E27" s="20"/>
    </row>
    <row r="28" spans="1:5">
      <c r="A28" s="20" t="str">
        <f>Kris!A30</f>
        <v>Basic Pay</v>
      </c>
      <c r="B28" s="14">
        <f>Kris!B30</f>
        <v>1587.7893333333332</v>
      </c>
      <c r="C28" s="7"/>
      <c r="D28" s="20" t="str">
        <f>Christian!A30</f>
        <v>Basic Pay</v>
      </c>
      <c r="E28" s="14">
        <f>Christian!B30</f>
        <v>1961.2800000000002</v>
      </c>
    </row>
    <row r="29" spans="1:5">
      <c r="A29" s="20" t="str">
        <f>Kris!A31</f>
        <v>Bonus/Incentives</v>
      </c>
      <c r="B29" s="14">
        <f>Kris!B31</f>
        <v>0</v>
      </c>
      <c r="C29" s="7"/>
      <c r="D29" s="20" t="str">
        <f>Christian!A31</f>
        <v>Bonus/Incentives</v>
      </c>
      <c r="E29" s="14">
        <f>Christian!B31</f>
        <v>0</v>
      </c>
    </row>
    <row r="30" spans="1:5">
      <c r="A30" s="20" t="str">
        <f>Kris!A32</f>
        <v>Overtime Pay</v>
      </c>
      <c r="B30" s="14">
        <f>Kris!B32</f>
        <v>374.09600000000017</v>
      </c>
      <c r="C30" s="7"/>
      <c r="D30" s="20" t="str">
        <f>Christian!A32</f>
        <v>Overtime Pay</v>
      </c>
      <c r="E30" s="14">
        <f>Christian!B32</f>
        <v>637.05280000000005</v>
      </c>
    </row>
    <row r="31" spans="1:5">
      <c r="A31" s="20" t="str">
        <f>Kris!A33</f>
        <v>Other Income</v>
      </c>
      <c r="B31" s="14">
        <f>Kris!B33</f>
        <v>0</v>
      </c>
      <c r="C31" s="7"/>
      <c r="D31" s="20" t="str">
        <f>Christian!A33</f>
        <v>Other Income</v>
      </c>
      <c r="E31" s="14">
        <f>Christian!B33</f>
        <v>0</v>
      </c>
    </row>
    <row r="32" spans="1:5">
      <c r="A32" s="20"/>
      <c r="B32" s="14"/>
      <c r="C32" s="7"/>
      <c r="D32" s="20"/>
      <c r="E32" s="14"/>
    </row>
    <row r="33" spans="1:5">
      <c r="A33" s="20"/>
      <c r="B33" s="14"/>
      <c r="C33" s="7"/>
      <c r="D33" s="20"/>
      <c r="E33" s="14"/>
    </row>
    <row r="34" spans="1:5">
      <c r="A34" s="20" t="str">
        <f>Kris!A36</f>
        <v>Gross Pay</v>
      </c>
      <c r="B34" s="14">
        <f>Kris!B36</f>
        <v>1961.8853333333336</v>
      </c>
      <c r="C34" s="7"/>
      <c r="D34" s="23" t="str">
        <f>Christian!A36</f>
        <v>Gross Pay</v>
      </c>
      <c r="E34" s="14">
        <f>Christian!B36</f>
        <v>2598.3327999999997</v>
      </c>
    </row>
    <row r="35" spans="1:5">
      <c r="A35" s="20" t="str">
        <f>Kris!A37</f>
        <v>Deductions</v>
      </c>
      <c r="B35" s="14">
        <f>Kris!B37</f>
        <v>0</v>
      </c>
      <c r="C35" s="7"/>
      <c r="D35" s="20" t="str">
        <f>Christian!A37</f>
        <v>Deductions</v>
      </c>
      <c r="E35" s="14">
        <f>Christian!B37</f>
        <v>0</v>
      </c>
    </row>
    <row r="36" spans="1:5">
      <c r="A36" s="20" t="str">
        <f>Kris!A38</f>
        <v>WH Tax</v>
      </c>
      <c r="B36" s="14">
        <f>Kris!B38</f>
        <v>0</v>
      </c>
      <c r="C36" s="7"/>
      <c r="D36" s="20" t="str">
        <f>Christian!A38</f>
        <v>WH Tax</v>
      </c>
      <c r="E36" s="14">
        <f>Christian!B38</f>
        <v>0</v>
      </c>
    </row>
    <row r="37" spans="1:5">
      <c r="A37" s="20"/>
      <c r="B37" s="14"/>
      <c r="C37" s="7"/>
      <c r="D37" s="20"/>
      <c r="E37" s="14"/>
    </row>
    <row r="38" spans="1:5">
      <c r="A38" s="22" t="str">
        <f>Kris!A40</f>
        <v>Net Pay</v>
      </c>
      <c r="B38" s="14">
        <f>Kris!B40</f>
        <v>1961.8853333333336</v>
      </c>
      <c r="C38" s="7"/>
      <c r="D38" s="22" t="str">
        <f>Christian!A40</f>
        <v>Net Pay</v>
      </c>
      <c r="E38" s="14">
        <f>Christian!B40</f>
        <v>2598.3327999999997</v>
      </c>
    </row>
    <row r="39" spans="1:5">
      <c r="A39" s="7"/>
      <c r="B39" s="7"/>
      <c r="C39" s="7"/>
      <c r="D39" s="7"/>
      <c r="E39" s="7"/>
    </row>
    <row r="40" spans="1:5">
      <c r="A40" s="7"/>
      <c r="B40" s="7"/>
      <c r="C40" s="7"/>
      <c r="D40" s="7"/>
      <c r="E40" s="7"/>
    </row>
    <row r="41" spans="1:5">
      <c r="A41" s="7"/>
      <c r="B41" s="7"/>
      <c r="C41" s="7"/>
      <c r="D41" s="7"/>
      <c r="E41" s="7"/>
    </row>
    <row r="42" spans="1:5" ht="17.399999999999999">
      <c r="A42" s="29" t="s">
        <v>42</v>
      </c>
      <c r="B42" s="29"/>
      <c r="D42" s="29" t="s">
        <v>42</v>
      </c>
      <c r="E42" s="29"/>
    </row>
    <row r="43" spans="1:5">
      <c r="A43" s="20" t="str">
        <f>Cherry!A24</f>
        <v>Name:</v>
      </c>
      <c r="B43" s="20" t="str">
        <f>Cherry!B24</f>
        <v>Cherry</v>
      </c>
      <c r="C43" s="7"/>
      <c r="D43" s="20" t="str">
        <f>Aldrin!A24</f>
        <v>Name:</v>
      </c>
      <c r="E43" s="20" t="str">
        <f>Aldrin!B24</f>
        <v>Aldrin</v>
      </c>
    </row>
    <row r="44" spans="1:5">
      <c r="A44" s="20" t="str">
        <f>Cherry!A25</f>
        <v>Job Title:</v>
      </c>
      <c r="B44" s="20" t="str">
        <f>Cherry!B25</f>
        <v>Staff</v>
      </c>
      <c r="C44" s="7"/>
      <c r="D44" s="20" t="str">
        <f>Aldrin!A25</f>
        <v>Job Title:</v>
      </c>
      <c r="E44" s="20" t="str">
        <f>Aldrin!B25</f>
        <v>Staff</v>
      </c>
    </row>
    <row r="45" spans="1:5">
      <c r="A45" s="20" t="str">
        <f>Cherry!A26</f>
        <v>Payment Date:</v>
      </c>
      <c r="B45" s="21">
        <f>Cherry!B26</f>
        <v>46062</v>
      </c>
      <c r="C45" s="7"/>
      <c r="D45" s="20" t="str">
        <f>Aldrin!A26</f>
        <v>Payment Date:</v>
      </c>
      <c r="E45" s="21">
        <f>Aldrin!B26</f>
        <v>46062</v>
      </c>
    </row>
    <row r="46" spans="1:5">
      <c r="A46" s="20" t="str">
        <f>Cherry!A27</f>
        <v>Cut Off Period:</v>
      </c>
      <c r="B46" s="20" t="str">
        <f>Cherry!B27</f>
        <v>Feb-2 to Feb-08, 2026</v>
      </c>
      <c r="C46" s="7"/>
      <c r="D46" s="20" t="str">
        <f>Aldrin!A27</f>
        <v>Cut Off Period:</v>
      </c>
      <c r="E46" s="20" t="str">
        <f>Aldrin!B27</f>
        <v>Feb-2 to Feb-08, 2026</v>
      </c>
    </row>
    <row r="47" spans="1:5">
      <c r="A47" s="20" t="str">
        <f>Cherry!A28</f>
        <v>Days Worked</v>
      </c>
      <c r="B47" s="20">
        <f>Cherry!B28</f>
        <v>5</v>
      </c>
      <c r="C47" s="7"/>
      <c r="D47" s="20" t="str">
        <f>Aldrin!A28</f>
        <v>Days Worked</v>
      </c>
      <c r="E47" s="20">
        <f>Aldrin!B28</f>
        <v>4</v>
      </c>
    </row>
    <row r="48" spans="1:5">
      <c r="A48" s="22" t="str">
        <f>Cherry!A29</f>
        <v>Adjustments</v>
      </c>
      <c r="B48" s="20"/>
      <c r="C48" s="7"/>
      <c r="D48" s="22" t="str">
        <f>Aldrin!A29</f>
        <v>Adjustments</v>
      </c>
      <c r="E48" s="20"/>
    </row>
    <row r="49" spans="1:5">
      <c r="A49" s="20" t="str">
        <f>Cherry!A30</f>
        <v>Basic Pay</v>
      </c>
      <c r="B49" s="14">
        <f>Cherry!B30</f>
        <v>1499.85</v>
      </c>
      <c r="C49" s="7"/>
      <c r="D49" s="20" t="str">
        <f>Aldrin!A30</f>
        <v>Basic Pay</v>
      </c>
      <c r="E49" s="14">
        <f>Aldrin!B30</f>
        <v>871.51516666666669</v>
      </c>
    </row>
    <row r="50" spans="1:5">
      <c r="A50" s="20" t="str">
        <f>Cherry!A31</f>
        <v>Bonus/Incentives</v>
      </c>
      <c r="B50" s="14">
        <f>Cherry!B31</f>
        <v>0</v>
      </c>
      <c r="C50" s="7"/>
      <c r="D50" s="20" t="str">
        <f>Aldrin!A31</f>
        <v>Bonus/Incentives</v>
      </c>
      <c r="E50" s="14">
        <f>Aldrin!B31</f>
        <v>0</v>
      </c>
    </row>
    <row r="51" spans="1:5">
      <c r="A51" s="20" t="str">
        <f>Cherry!A32</f>
        <v>Overtime Pay</v>
      </c>
      <c r="B51" s="14">
        <f>Cherry!B32</f>
        <v>568.60980000000029</v>
      </c>
      <c r="C51" s="7"/>
      <c r="D51" s="20" t="str">
        <f>Aldrin!A32</f>
        <v>Overtime Pay</v>
      </c>
      <c r="E51" s="14">
        <f>Aldrin!B32</f>
        <v>147.7364</v>
      </c>
    </row>
    <row r="52" spans="1:5">
      <c r="A52" s="20" t="str">
        <f>Cherry!A33</f>
        <v>Other Income</v>
      </c>
      <c r="B52" s="14">
        <f>Cherry!B33</f>
        <v>0</v>
      </c>
      <c r="C52" s="7"/>
      <c r="D52" s="20" t="str">
        <f>Aldrin!A33</f>
        <v>Other Income</v>
      </c>
      <c r="E52" s="14">
        <f>Aldrin!B33</f>
        <v>0</v>
      </c>
    </row>
    <row r="53" spans="1:5">
      <c r="A53" s="20"/>
      <c r="B53" s="14"/>
      <c r="C53" s="7"/>
      <c r="D53" s="20"/>
      <c r="E53" s="14"/>
    </row>
    <row r="54" spans="1:5">
      <c r="A54" s="20"/>
      <c r="B54" s="14"/>
      <c r="C54" s="7"/>
      <c r="D54" s="20"/>
      <c r="E54" s="14"/>
    </row>
    <row r="55" spans="1:5">
      <c r="A55" s="20" t="str">
        <f>Cherry!A36</f>
        <v>Gross Pay</v>
      </c>
      <c r="B55" s="14">
        <f>Cherry!B36</f>
        <v>2068.4598000000001</v>
      </c>
      <c r="C55" s="7"/>
      <c r="D55" s="20" t="str">
        <f>Aldrin!A36</f>
        <v>Gross Pay</v>
      </c>
      <c r="E55" s="14">
        <f>Aldrin!B36</f>
        <v>1019.2515666666667</v>
      </c>
    </row>
    <row r="56" spans="1:5">
      <c r="A56" s="20" t="str">
        <f>Cherry!A37</f>
        <v>Deductions</v>
      </c>
      <c r="B56" s="14">
        <f>Cherry!B37</f>
        <v>0</v>
      </c>
      <c r="C56" s="7"/>
      <c r="D56" s="20" t="str">
        <f>Aldrin!A37</f>
        <v>Deductions</v>
      </c>
      <c r="E56" s="14">
        <f>Aldrin!B37</f>
        <v>0</v>
      </c>
    </row>
    <row r="57" spans="1:5">
      <c r="A57" s="20" t="str">
        <f>Cherry!A38</f>
        <v>WH Tax</v>
      </c>
      <c r="B57" s="14">
        <f>Cherry!B38</f>
        <v>0</v>
      </c>
      <c r="C57" s="7"/>
      <c r="D57" s="20" t="str">
        <f>Aldrin!A38</f>
        <v>WH Tax</v>
      </c>
      <c r="E57" s="14">
        <f>Aldrin!B38</f>
        <v>0</v>
      </c>
    </row>
    <row r="58" spans="1:5">
      <c r="A58" s="20"/>
      <c r="B58" s="14"/>
      <c r="C58" s="7"/>
      <c r="D58" s="20"/>
      <c r="E58" s="14"/>
    </row>
    <row r="59" spans="1:5">
      <c r="A59" s="22" t="str">
        <f>Cherry!A40</f>
        <v>Net Pay</v>
      </c>
      <c r="B59" s="14">
        <f>Cherry!B40</f>
        <v>2068.4598000000001</v>
      </c>
      <c r="C59" s="7"/>
      <c r="D59" s="22" t="str">
        <f>Aldrin!A40</f>
        <v>Net Pay</v>
      </c>
      <c r="E59" s="14">
        <f>Aldrin!B40</f>
        <v>1019.2515666666667</v>
      </c>
    </row>
    <row r="60" spans="1:5">
      <c r="A60" s="7"/>
      <c r="B60" s="7"/>
      <c r="C60" s="7"/>
      <c r="D60" s="7"/>
      <c r="E60" s="7"/>
    </row>
    <row r="62" spans="1:5" ht="17.399999999999999">
      <c r="A62" s="29" t="s">
        <v>42</v>
      </c>
      <c r="B62" s="29"/>
      <c r="D62" s="29" t="s">
        <v>42</v>
      </c>
      <c r="E62" s="29"/>
    </row>
    <row r="63" spans="1:5">
      <c r="A63" s="10" t="str">
        <f>Mark!A24</f>
        <v>Name:</v>
      </c>
      <c r="B63" s="10" t="str">
        <f>Mark!B24</f>
        <v>Mark</v>
      </c>
      <c r="D63" s="10" t="str">
        <f>Chadiyah!A24</f>
        <v>Name:</v>
      </c>
      <c r="E63" s="10" t="str">
        <f>Chadiyah!B24</f>
        <v>Chadiyah</v>
      </c>
    </row>
    <row r="64" spans="1:5">
      <c r="A64" s="10" t="str">
        <f>Mark!A25</f>
        <v>Job Title:</v>
      </c>
      <c r="B64" s="10" t="str">
        <f>Mark!B25</f>
        <v>Staff</v>
      </c>
      <c r="D64" s="10" t="str">
        <f>Chadiyah!A25</f>
        <v>Job Title:</v>
      </c>
      <c r="E64" s="10" t="str">
        <f>Chadiyah!B25</f>
        <v>Staff</v>
      </c>
    </row>
    <row r="65" spans="1:5">
      <c r="A65" s="10" t="str">
        <f>Mark!A26</f>
        <v>Payment Date:</v>
      </c>
      <c r="B65" s="21">
        <f>Mark!B26</f>
        <v>46062</v>
      </c>
      <c r="D65" s="10" t="str">
        <f>Chadiyah!A26</f>
        <v>Payment Date:</v>
      </c>
      <c r="E65" s="21">
        <f>Chadiyah!B26</f>
        <v>46062</v>
      </c>
    </row>
    <row r="66" spans="1:5">
      <c r="A66" s="10" t="str">
        <f>Mark!A27</f>
        <v>Cut Off Period:</v>
      </c>
      <c r="B66" s="10" t="str">
        <f>Mark!B27</f>
        <v>Feb-2 to Feb-08, 2026</v>
      </c>
      <c r="D66" s="10" t="str">
        <f>Chadiyah!A27</f>
        <v>Cut Off Period:</v>
      </c>
      <c r="E66" s="10" t="str">
        <f>Chadiyah!B27</f>
        <v>Jan-26 to Feb-01, 2026</v>
      </c>
    </row>
    <row r="67" spans="1:5">
      <c r="A67" s="10" t="str">
        <f>Mark!A28</f>
        <v>Days Worked</v>
      </c>
      <c r="B67" s="10">
        <f>Mark!B28</f>
        <v>5</v>
      </c>
      <c r="D67" s="10" t="str">
        <f>Chadiyah!A28</f>
        <v>Days Worked</v>
      </c>
      <c r="E67" s="10">
        <f>Chadiyah!B28</f>
        <v>6</v>
      </c>
    </row>
    <row r="68" spans="1:5">
      <c r="A68" s="13" t="str">
        <f>Mark!A29</f>
        <v>Adjustments</v>
      </c>
      <c r="B68" s="10"/>
      <c r="D68" s="13" t="str">
        <f>Chadiyah!A29</f>
        <v>Adjustments</v>
      </c>
      <c r="E68" s="10"/>
    </row>
    <row r="69" spans="1:5">
      <c r="A69" s="10" t="str">
        <f>Mark!A30</f>
        <v>Basic Pay</v>
      </c>
      <c r="B69" s="14">
        <f>Mark!B30</f>
        <v>1069.145</v>
      </c>
      <c r="D69" s="10" t="str">
        <f>Chadiyah!A30</f>
        <v>Basic Pay</v>
      </c>
      <c r="E69" s="14">
        <f>Chadiyah!B30</f>
        <v>1743.1799999999998</v>
      </c>
    </row>
    <row r="70" spans="1:5">
      <c r="A70" s="10" t="str">
        <f>Mark!A31</f>
        <v>Bonus/Incentives</v>
      </c>
      <c r="B70" s="14">
        <f>Mark!B31</f>
        <v>0</v>
      </c>
      <c r="D70" s="10" t="str">
        <f>Chadiyah!A31</f>
        <v>Bonus/Incentives</v>
      </c>
      <c r="E70" s="14">
        <f>Chadiyah!B31</f>
        <v>0</v>
      </c>
    </row>
    <row r="71" spans="1:5">
      <c r="A71" s="10" t="str">
        <f>Mark!A32</f>
        <v>Overtime Pay</v>
      </c>
      <c r="B71" s="14">
        <f>Mark!B32</f>
        <v>138.85000000000002</v>
      </c>
      <c r="D71" s="10" t="str">
        <f>Chadiyah!A32</f>
        <v>Overtime Pay</v>
      </c>
      <c r="E71" s="14">
        <f>Chadiyah!B32</f>
        <v>61.523999999999994</v>
      </c>
    </row>
    <row r="72" spans="1:5">
      <c r="A72" s="10" t="str">
        <f>Mark!A33</f>
        <v>Other Income</v>
      </c>
      <c r="B72" s="14">
        <f>Mark!B33</f>
        <v>0</v>
      </c>
      <c r="D72" s="10" t="str">
        <f>Chadiyah!A33</f>
        <v>Other Income</v>
      </c>
      <c r="E72" s="14">
        <f>Chadiyah!B33</f>
        <v>0</v>
      </c>
    </row>
    <row r="73" spans="1:5">
      <c r="A73" s="10"/>
      <c r="B73" s="14"/>
      <c r="D73" s="10"/>
      <c r="E73" s="14"/>
    </row>
    <row r="74" spans="1:5">
      <c r="A74" s="10"/>
      <c r="B74" s="14"/>
      <c r="D74" s="10"/>
      <c r="E74" s="14"/>
    </row>
    <row r="75" spans="1:5">
      <c r="A75" s="10" t="str">
        <f>Mark!A36</f>
        <v>Gross Pay</v>
      </c>
      <c r="B75" s="14">
        <f>Mark!B36</f>
        <v>1207.9950000000001</v>
      </c>
      <c r="D75" s="10" t="str">
        <f>Chadiyah!A36</f>
        <v>Gross Pay</v>
      </c>
      <c r="E75" s="14">
        <f>Chadiyah!B36</f>
        <v>1804.704</v>
      </c>
    </row>
    <row r="76" spans="1:5">
      <c r="A76" s="10" t="str">
        <f>Mark!A37</f>
        <v>Deductions</v>
      </c>
      <c r="B76" s="14">
        <f>Mark!B37</f>
        <v>0</v>
      </c>
      <c r="D76" s="10" t="str">
        <f>Chadiyah!A37</f>
        <v>Deductions</v>
      </c>
      <c r="E76" s="14">
        <f>Chadiyah!B37</f>
        <v>0</v>
      </c>
    </row>
    <row r="77" spans="1:5">
      <c r="A77" s="10" t="str">
        <f>Mark!A38</f>
        <v>WH Tax</v>
      </c>
      <c r="B77" s="14">
        <f>Mark!B38</f>
        <v>0</v>
      </c>
      <c r="D77" s="10" t="str">
        <f>Chadiyah!A38</f>
        <v>WH Tax</v>
      </c>
      <c r="E77" s="14">
        <f>Chadiyah!B38</f>
        <v>0</v>
      </c>
    </row>
    <row r="78" spans="1:5">
      <c r="A78" s="10"/>
      <c r="B78" s="14"/>
      <c r="D78" s="10"/>
      <c r="E78" s="14"/>
    </row>
    <row r="79" spans="1:5">
      <c r="A79" s="13" t="str">
        <f>Mark!A40</f>
        <v>Net Pay</v>
      </c>
      <c r="B79" s="14">
        <f>Mark!B40</f>
        <v>1207.9950000000001</v>
      </c>
      <c r="D79" s="13" t="str">
        <f>Chadiyah!A40</f>
        <v>Net Pay</v>
      </c>
      <c r="E79" s="14">
        <f>Chadiyah!B40</f>
        <v>1804.704</v>
      </c>
    </row>
    <row r="82" spans="1:5" ht="17.399999999999999">
      <c r="A82" s="29" t="s">
        <v>42</v>
      </c>
      <c r="B82" s="29"/>
      <c r="D82" s="29" t="s">
        <v>42</v>
      </c>
      <c r="E82" s="29"/>
    </row>
    <row r="83" spans="1:5">
      <c r="A83" s="10" t="str">
        <f>Lenard!A24</f>
        <v>Name:</v>
      </c>
      <c r="B83" s="10" t="str">
        <f>Lenard!B24</f>
        <v>Lenard</v>
      </c>
      <c r="D83" s="10">
        <f>Chadiyah!A44</f>
        <v>0</v>
      </c>
      <c r="E83" s="10">
        <f>Chadiyah!B44</f>
        <v>0</v>
      </c>
    </row>
    <row r="84" spans="1:5">
      <c r="A84" s="10" t="str">
        <f>Lenard!A25</f>
        <v>Job Title:</v>
      </c>
      <c r="B84" s="10" t="str">
        <f>Lenard!B25</f>
        <v>Staff</v>
      </c>
      <c r="D84" s="10">
        <f>Chadiyah!A45</f>
        <v>0</v>
      </c>
      <c r="E84" s="10">
        <f>Chadiyah!B45</f>
        <v>0</v>
      </c>
    </row>
    <row r="85" spans="1:5">
      <c r="A85" s="10" t="str">
        <f>Lenard!A26</f>
        <v>Payment Date:</v>
      </c>
      <c r="B85" s="21">
        <f>Lenard!B26</f>
        <v>46055</v>
      </c>
      <c r="D85" s="10">
        <f>Chadiyah!A46</f>
        <v>0</v>
      </c>
      <c r="E85" s="21">
        <f>Chadiyah!B46</f>
        <v>0</v>
      </c>
    </row>
    <row r="86" spans="1:5">
      <c r="A86" s="10" t="str">
        <f>Lenard!A27</f>
        <v>Cut Off Period:</v>
      </c>
      <c r="B86" s="10" t="str">
        <f>Lenard!B27</f>
        <v>Feb-2 to Feb-08, 2026</v>
      </c>
      <c r="D86" s="10">
        <f>Chadiyah!A47</f>
        <v>0</v>
      </c>
      <c r="E86" s="10">
        <f>Chadiyah!B47</f>
        <v>0</v>
      </c>
    </row>
    <row r="87" spans="1:5">
      <c r="A87" s="10" t="str">
        <f>Lenard!A28</f>
        <v>Days Worked</v>
      </c>
      <c r="B87" s="10">
        <f>Lenard!B28</f>
        <v>0</v>
      </c>
      <c r="D87" s="10"/>
      <c r="E87" s="10"/>
    </row>
    <row r="88" spans="1:5">
      <c r="A88" s="10" t="str">
        <f>Lenard!A29</f>
        <v>Adjustments</v>
      </c>
      <c r="B88" s="10"/>
      <c r="D88" s="13">
        <f>Chadiyah!A49</f>
        <v>0</v>
      </c>
      <c r="E88" s="10"/>
    </row>
    <row r="89" spans="1:5">
      <c r="A89" s="10" t="str">
        <f>Lenard!A30</f>
        <v>Basic Pay</v>
      </c>
      <c r="B89" s="14">
        <f>Lenard!B30</f>
        <v>0</v>
      </c>
      <c r="D89" s="10">
        <f>Chadiyah!A50</f>
        <v>0</v>
      </c>
      <c r="E89" s="14">
        <f>Chadiyah!B50</f>
        <v>0</v>
      </c>
    </row>
    <row r="90" spans="1:5">
      <c r="A90" s="10" t="str">
        <f>Lenard!A31</f>
        <v>Bonus/Incentives</v>
      </c>
      <c r="B90" s="14">
        <f>Lenard!B31</f>
        <v>0</v>
      </c>
      <c r="D90" s="10">
        <f>Chadiyah!A51</f>
        <v>0</v>
      </c>
      <c r="E90" s="14">
        <f>Chadiyah!B51</f>
        <v>0</v>
      </c>
    </row>
    <row r="91" spans="1:5">
      <c r="A91" s="10" t="str">
        <f>Lenard!A32</f>
        <v>Overtime Pay</v>
      </c>
      <c r="B91" s="14">
        <f>Lenard!B32</f>
        <v>0</v>
      </c>
      <c r="D91" s="10">
        <f>Chadiyah!A52</f>
        <v>0</v>
      </c>
      <c r="E91" s="14">
        <f>Chadiyah!B52</f>
        <v>0</v>
      </c>
    </row>
    <row r="92" spans="1:5">
      <c r="A92" s="10" t="str">
        <f>Lenard!A33</f>
        <v>Other Income</v>
      </c>
      <c r="B92" s="14">
        <f>Lenard!B33</f>
        <v>0</v>
      </c>
      <c r="D92" s="10">
        <f>Chadiyah!A53</f>
        <v>0</v>
      </c>
      <c r="E92" s="14">
        <f>Chadiyah!B53</f>
        <v>0</v>
      </c>
    </row>
    <row r="93" spans="1:5">
      <c r="A93" s="10"/>
      <c r="B93" s="14"/>
      <c r="D93" s="10"/>
      <c r="E93" s="14"/>
    </row>
    <row r="94" spans="1:5">
      <c r="A94" s="10"/>
      <c r="B94" s="14"/>
      <c r="D94" s="10"/>
      <c r="E94" s="14"/>
    </row>
    <row r="95" spans="1:5">
      <c r="A95" s="10" t="str">
        <f>Lenard!A36</f>
        <v>Gross Pay</v>
      </c>
      <c r="B95" s="14">
        <f>Lenard!B36</f>
        <v>0</v>
      </c>
      <c r="D95" s="10">
        <f>Chadiyah!A56</f>
        <v>0</v>
      </c>
      <c r="E95" s="14">
        <f>Chadiyah!B56</f>
        <v>0</v>
      </c>
    </row>
    <row r="96" spans="1:5">
      <c r="A96" s="10" t="str">
        <f>Lenard!A37</f>
        <v>Deductions</v>
      </c>
      <c r="B96" s="14">
        <f>Lenard!B37</f>
        <v>0</v>
      </c>
      <c r="D96" s="10">
        <f>Chadiyah!A57</f>
        <v>0</v>
      </c>
      <c r="E96" s="14">
        <f>Chadiyah!B57</f>
        <v>0</v>
      </c>
    </row>
    <row r="97" spans="1:5">
      <c r="A97" s="10" t="str">
        <f>Lenard!A38</f>
        <v>WH Tax</v>
      </c>
      <c r="B97" s="14">
        <f>Lenard!B38</f>
        <v>0</v>
      </c>
      <c r="D97" s="10">
        <f>Chadiyah!A58</f>
        <v>0</v>
      </c>
      <c r="E97" s="14">
        <f>Chadiyah!B58</f>
        <v>0</v>
      </c>
    </row>
    <row r="98" spans="1:5">
      <c r="A98" s="10"/>
      <c r="B98" s="14"/>
      <c r="D98" s="10"/>
      <c r="E98" s="14"/>
    </row>
    <row r="99" spans="1:5">
      <c r="A99" s="10" t="str">
        <f>Lenard!A40</f>
        <v>Net Pay</v>
      </c>
      <c r="B99" s="14">
        <f>Lenard!B40</f>
        <v>0</v>
      </c>
      <c r="D99" s="13">
        <f>Chadiyah!A60</f>
        <v>0</v>
      </c>
      <c r="E99" s="14">
        <f>Chadiyah!B60</f>
        <v>0</v>
      </c>
    </row>
  </sheetData>
  <mergeCells count="10">
    <mergeCell ref="A82:B82"/>
    <mergeCell ref="D82:E82"/>
    <mergeCell ref="A62:B62"/>
    <mergeCell ref="D62:E62"/>
    <mergeCell ref="A1:B1"/>
    <mergeCell ref="D1:E1"/>
    <mergeCell ref="A21:B21"/>
    <mergeCell ref="D21:E21"/>
    <mergeCell ref="A42:B42"/>
    <mergeCell ref="D42:E42"/>
  </mergeCells>
  <pageMargins left="0.7" right="0.7" top="0.75" bottom="0.75" header="0.3" footer="0.3"/>
  <pageSetup paperSize="9" orientation="portrait" horizontalDpi="0" verticalDpi="0" r:id="rId1"/>
  <rowBreaks count="2" manualBreakCount="2">
    <brk id="41" max="16383" man="1"/>
    <brk id="8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8A87-3F5C-4C69-8F65-8726D0328C63}">
  <dimension ref="A1:B11"/>
  <sheetViews>
    <sheetView workbookViewId="0">
      <selection activeCell="B11" sqref="B11"/>
    </sheetView>
  </sheetViews>
  <sheetFormatPr defaultRowHeight="14.4"/>
  <cols>
    <col min="1" max="1" width="13.5546875" bestFit="1" customWidth="1"/>
    <col min="2" max="2" width="9" bestFit="1" customWidth="1"/>
  </cols>
  <sheetData>
    <row r="1" spans="1:2">
      <c r="A1" s="6" t="s">
        <v>78</v>
      </c>
      <c r="B1" s="6" t="s">
        <v>7</v>
      </c>
    </row>
    <row r="2" spans="1:2">
      <c r="A2" t="str">
        <f>'Rhea Mae'!A15</f>
        <v>Rhea Mae</v>
      </c>
      <c r="B2" s="8">
        <f>'Rhea Mae'!D15</f>
        <v>1756.981</v>
      </c>
    </row>
    <row r="3" spans="1:2">
      <c r="A3" t="str">
        <f>'Jay Anne'!A15</f>
        <v>Jay Anne</v>
      </c>
      <c r="B3" s="8">
        <f>'Jay Anne'!D15</f>
        <v>1779.0467999999998</v>
      </c>
    </row>
    <row r="4" spans="1:2">
      <c r="A4" t="str">
        <f>Kris!A15</f>
        <v>Kris Naynayan</v>
      </c>
      <c r="B4" s="8">
        <f>Kris!D15</f>
        <v>1961.8853333333336</v>
      </c>
    </row>
    <row r="5" spans="1:2">
      <c r="A5" t="str">
        <f>Christian!A15</f>
        <v>Christian</v>
      </c>
      <c r="B5" s="8">
        <f>Christian!D15</f>
        <v>2598.3327999999997</v>
      </c>
    </row>
    <row r="6" spans="1:2">
      <c r="A6" t="str">
        <f>Cherry!A15</f>
        <v>Cherry</v>
      </c>
      <c r="B6" s="8">
        <f>Cherry!D15</f>
        <v>2068.4598000000001</v>
      </c>
    </row>
    <row r="7" spans="1:2">
      <c r="A7" t="str">
        <f>Aldrin!A15</f>
        <v>Aldrin</v>
      </c>
      <c r="B7" s="8">
        <f>Aldrin!D15</f>
        <v>1019.2515666666667</v>
      </c>
    </row>
    <row r="8" spans="1:2">
      <c r="A8" t="str">
        <f>Mark!A15</f>
        <v>Mark</v>
      </c>
      <c r="B8" s="8">
        <f>Mark!D15</f>
        <v>1207.9950000000001</v>
      </c>
    </row>
    <row r="9" spans="1:2">
      <c r="A9" t="str">
        <f>Lenard!A15</f>
        <v>Lenard</v>
      </c>
      <c r="B9" s="8">
        <f>Lenard!D15</f>
        <v>0</v>
      </c>
    </row>
    <row r="10" spans="1:2">
      <c r="A10" t="str">
        <f>Chadiyah!A15</f>
        <v>Chadiyah</v>
      </c>
      <c r="B10" s="8">
        <f>Chadiyah!D15</f>
        <v>1804.704</v>
      </c>
    </row>
    <row r="11" spans="1:2">
      <c r="B11" s="8">
        <f>SUM(B2:B10)</f>
        <v>14196.656300000001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2B11-FB99-42C9-A324-EB06962405D0}">
  <dimension ref="A1:L40"/>
  <sheetViews>
    <sheetView workbookViewId="0">
      <selection activeCell="A27" sqref="A27"/>
    </sheetView>
  </sheetViews>
  <sheetFormatPr defaultColWidth="15.44140625" defaultRowHeight="14.4"/>
  <cols>
    <col min="1" max="1" width="15.6640625" customWidth="1"/>
    <col min="2" max="2" width="19.441406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14</v>
      </c>
      <c r="B2" s="2" t="s">
        <v>20</v>
      </c>
      <c r="C2" s="4" t="s">
        <v>79</v>
      </c>
      <c r="D2" s="25" t="s">
        <v>80</v>
      </c>
      <c r="E2" s="25" t="s">
        <v>61</v>
      </c>
      <c r="F2">
        <v>38.46</v>
      </c>
      <c r="G2" s="7">
        <f t="shared" ref="G2:G8" si="0">(E2-D2)*24</f>
        <v>7.8833333333333346</v>
      </c>
      <c r="H2" s="7">
        <f>MIN(G2,9)</f>
        <v>7.8833333333333346</v>
      </c>
      <c r="I2" s="7">
        <f>IF(MAX(G2-9,0) - 1 &lt; 0, 0, MAX(G2-9,0) - 1)</f>
        <v>0</v>
      </c>
      <c r="J2" s="7">
        <f t="shared" ref="J2:J8" si="1">H2*F2</f>
        <v>303.19300000000004</v>
      </c>
      <c r="K2" s="7">
        <f t="shared" ref="K2:K8" si="2">I2*F2*1.2</f>
        <v>0</v>
      </c>
      <c r="L2" s="7">
        <f t="shared" ref="L2:L8" si="3">J2+K2</f>
        <v>303.19300000000004</v>
      </c>
    </row>
    <row r="3" spans="1:12">
      <c r="A3" t="s">
        <v>14</v>
      </c>
      <c r="B3" s="2" t="s">
        <v>20</v>
      </c>
      <c r="C3" s="4" t="s">
        <v>81</v>
      </c>
      <c r="D3" s="4" t="s">
        <v>33</v>
      </c>
      <c r="E3" s="25" t="s">
        <v>61</v>
      </c>
      <c r="F3">
        <v>38.46</v>
      </c>
      <c r="G3" s="7">
        <f t="shared" si="0"/>
        <v>12.499999999999998</v>
      </c>
      <c r="H3" s="7">
        <f t="shared" ref="H3:H8" si="4">MIN(G3,9)</f>
        <v>9</v>
      </c>
      <c r="I3" s="7">
        <f t="shared" ref="I3:I8" si="5">IF(MAX(G3-9,0) - 1 &lt; 0, 0, MAX(G3-9,0) - 1)</f>
        <v>2.4999999999999982</v>
      </c>
      <c r="J3" s="7">
        <f t="shared" si="1"/>
        <v>346.14</v>
      </c>
      <c r="K3" s="7">
        <f t="shared" si="2"/>
        <v>115.37999999999991</v>
      </c>
      <c r="L3" s="7">
        <f t="shared" si="3"/>
        <v>461.51999999999987</v>
      </c>
    </row>
    <row r="4" spans="1:12">
      <c r="A4" t="s">
        <v>14</v>
      </c>
      <c r="B4" s="2" t="s">
        <v>20</v>
      </c>
      <c r="C4" s="4" t="s">
        <v>82</v>
      </c>
      <c r="D4" s="25" t="s">
        <v>34</v>
      </c>
      <c r="E4" s="25" t="s">
        <v>34</v>
      </c>
      <c r="F4">
        <v>38.46</v>
      </c>
      <c r="G4" s="7">
        <f t="shared" si="0"/>
        <v>0</v>
      </c>
      <c r="H4" s="7">
        <f t="shared" si="4"/>
        <v>0</v>
      </c>
      <c r="I4" s="7">
        <f t="shared" si="5"/>
        <v>0</v>
      </c>
      <c r="J4" s="7">
        <f t="shared" si="1"/>
        <v>0</v>
      </c>
      <c r="K4" s="7">
        <f t="shared" si="2"/>
        <v>0</v>
      </c>
      <c r="L4" s="7">
        <f t="shared" si="3"/>
        <v>0</v>
      </c>
    </row>
    <row r="5" spans="1:12">
      <c r="A5" t="s">
        <v>14</v>
      </c>
      <c r="B5" s="2" t="s">
        <v>20</v>
      </c>
      <c r="C5" s="4" t="s">
        <v>83</v>
      </c>
      <c r="D5" s="4" t="s">
        <v>33</v>
      </c>
      <c r="E5" s="25" t="s">
        <v>57</v>
      </c>
      <c r="F5">
        <v>38.46</v>
      </c>
      <c r="G5" s="7">
        <f t="shared" si="0"/>
        <v>13.000000000000002</v>
      </c>
      <c r="H5" s="7">
        <f t="shared" si="4"/>
        <v>9</v>
      </c>
      <c r="I5" s="7">
        <f t="shared" si="5"/>
        <v>3.0000000000000018</v>
      </c>
      <c r="J5" s="7">
        <f t="shared" si="1"/>
        <v>346.14</v>
      </c>
      <c r="K5" s="7">
        <f t="shared" si="2"/>
        <v>138.45600000000007</v>
      </c>
      <c r="L5" s="7">
        <f t="shared" si="3"/>
        <v>484.59600000000006</v>
      </c>
    </row>
    <row r="6" spans="1:12">
      <c r="A6" t="s">
        <v>14</v>
      </c>
      <c r="B6" s="2" t="s">
        <v>20</v>
      </c>
      <c r="C6" s="4" t="s">
        <v>84</v>
      </c>
      <c r="D6" s="4" t="s">
        <v>33</v>
      </c>
      <c r="E6" s="25" t="s">
        <v>32</v>
      </c>
      <c r="F6">
        <v>38.46</v>
      </c>
      <c r="G6" s="7">
        <f t="shared" si="0"/>
        <v>13.5</v>
      </c>
      <c r="H6" s="7">
        <f t="shared" si="4"/>
        <v>9</v>
      </c>
      <c r="I6" s="7">
        <f t="shared" si="5"/>
        <v>3.5</v>
      </c>
      <c r="J6" s="7">
        <f t="shared" si="1"/>
        <v>346.14</v>
      </c>
      <c r="K6" s="7">
        <f t="shared" si="2"/>
        <v>161.53200000000001</v>
      </c>
      <c r="L6" s="7">
        <f t="shared" si="3"/>
        <v>507.67200000000003</v>
      </c>
    </row>
    <row r="7" spans="1:12">
      <c r="A7" t="s">
        <v>14</v>
      </c>
      <c r="B7" s="2" t="s">
        <v>20</v>
      </c>
      <c r="C7" s="4" t="s">
        <v>85</v>
      </c>
      <c r="D7" s="25" t="s">
        <v>34</v>
      </c>
      <c r="E7" s="25" t="s">
        <v>34</v>
      </c>
      <c r="F7">
        <v>38.46</v>
      </c>
      <c r="G7" s="7">
        <f t="shared" si="0"/>
        <v>0</v>
      </c>
      <c r="H7" s="7">
        <f t="shared" si="4"/>
        <v>0</v>
      </c>
      <c r="I7" s="7">
        <f t="shared" si="5"/>
        <v>0</v>
      </c>
      <c r="J7" s="7">
        <f t="shared" si="1"/>
        <v>0</v>
      </c>
      <c r="K7" s="7">
        <f t="shared" si="2"/>
        <v>0</v>
      </c>
      <c r="L7" s="7">
        <f t="shared" si="3"/>
        <v>0</v>
      </c>
    </row>
    <row r="8" spans="1:12">
      <c r="A8" t="s">
        <v>14</v>
      </c>
      <c r="B8" s="2" t="s">
        <v>20</v>
      </c>
      <c r="C8" s="4" t="s">
        <v>86</v>
      </c>
      <c r="D8" s="25" t="s">
        <v>34</v>
      </c>
      <c r="E8" s="25" t="s">
        <v>34</v>
      </c>
      <c r="F8">
        <v>38.46</v>
      </c>
      <c r="G8" s="7">
        <f t="shared" si="0"/>
        <v>0</v>
      </c>
      <c r="H8" s="7">
        <f t="shared" si="4"/>
        <v>0</v>
      </c>
      <c r="I8" s="7">
        <f t="shared" si="5"/>
        <v>0</v>
      </c>
      <c r="J8" s="7">
        <f t="shared" si="1"/>
        <v>0</v>
      </c>
      <c r="K8" s="7">
        <f t="shared" si="2"/>
        <v>0</v>
      </c>
      <c r="L8" s="7">
        <f t="shared" si="3"/>
        <v>0</v>
      </c>
    </row>
    <row r="14" spans="1:12">
      <c r="A14" s="6" t="s">
        <v>37</v>
      </c>
      <c r="B14" s="6" t="s">
        <v>38</v>
      </c>
      <c r="C14" s="6" t="s">
        <v>39</v>
      </c>
      <c r="D14" s="6" t="s">
        <v>40</v>
      </c>
    </row>
    <row r="15" spans="1:12">
      <c r="A15" t="s">
        <v>14</v>
      </c>
      <c r="B15" s="8">
        <f>SUM(J2:J13)</f>
        <v>1341.6130000000001</v>
      </c>
      <c r="C15" s="8">
        <f>SUM(K2:K13)</f>
        <v>415.36799999999999</v>
      </c>
      <c r="D15" s="8">
        <f>SUM(L2:L13)</f>
        <v>1756.981</v>
      </c>
    </row>
    <row r="23" spans="1:4" ht="21.6" customHeight="1">
      <c r="A23" s="29" t="s">
        <v>42</v>
      </c>
      <c r="B23" s="29"/>
      <c r="C23" s="15"/>
      <c r="D23" s="9"/>
    </row>
    <row r="24" spans="1:4">
      <c r="A24" s="10" t="s">
        <v>43</v>
      </c>
      <c r="B24" s="11" t="str">
        <f>A2</f>
        <v>Rhea Mae</v>
      </c>
      <c r="C24" s="16"/>
    </row>
    <row r="25" spans="1:4">
      <c r="A25" s="10" t="s">
        <v>44</v>
      </c>
      <c r="B25" s="11" t="s">
        <v>52</v>
      </c>
      <c r="C25" s="16"/>
    </row>
    <row r="26" spans="1:4">
      <c r="A26" s="10" t="s">
        <v>45</v>
      </c>
      <c r="B26" s="12">
        <f>C8+1</f>
        <v>46062</v>
      </c>
      <c r="C26" s="16"/>
    </row>
    <row r="27" spans="1:4">
      <c r="A27" s="10" t="s">
        <v>53</v>
      </c>
      <c r="B27" s="10" t="s">
        <v>87</v>
      </c>
      <c r="C27" s="16"/>
    </row>
    <row r="28" spans="1:4">
      <c r="A28" s="10" t="s">
        <v>108</v>
      </c>
      <c r="B28" s="10">
        <f>COUNTIF(D2:D8, "*:*")</f>
        <v>4</v>
      </c>
      <c r="C28" s="16"/>
    </row>
    <row r="29" spans="1:4">
      <c r="A29" s="13" t="s">
        <v>56</v>
      </c>
      <c r="B29" s="10"/>
      <c r="C29" s="17"/>
    </row>
    <row r="30" spans="1:4">
      <c r="A30" s="10" t="s">
        <v>47</v>
      </c>
      <c r="B30" s="14">
        <f>B15</f>
        <v>1341.6130000000001</v>
      </c>
      <c r="C30" s="16"/>
    </row>
    <row r="31" spans="1:4">
      <c r="A31" s="10" t="s">
        <v>46</v>
      </c>
      <c r="B31" s="14">
        <v>0</v>
      </c>
      <c r="C31" s="16"/>
    </row>
    <row r="32" spans="1:4">
      <c r="A32" s="10" t="s">
        <v>6</v>
      </c>
      <c r="B32" s="14">
        <f>C15</f>
        <v>415.36799999999999</v>
      </c>
      <c r="C32" s="16"/>
    </row>
    <row r="33" spans="1:3">
      <c r="A33" s="10" t="s">
        <v>48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49</v>
      </c>
      <c r="B36" s="14">
        <f>D15</f>
        <v>1756.981</v>
      </c>
      <c r="C36" s="16"/>
    </row>
    <row r="37" spans="1:3">
      <c r="A37" s="10" t="s">
        <v>50</v>
      </c>
      <c r="B37" s="14">
        <v>0</v>
      </c>
      <c r="C37" s="16"/>
    </row>
    <row r="38" spans="1:3">
      <c r="A38" s="10" t="s">
        <v>55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51</v>
      </c>
      <c r="B40" s="14">
        <f>SUM(B36:B38)</f>
        <v>1756.981</v>
      </c>
      <c r="C40" s="16"/>
    </row>
  </sheetData>
  <mergeCells count="1">
    <mergeCell ref="A23:B23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DA38-71F9-4802-93AA-E5FBC1070D96}">
  <dimension ref="A1:L40"/>
  <sheetViews>
    <sheetView workbookViewId="0">
      <selection activeCell="A28" sqref="A28:B28"/>
    </sheetView>
  </sheetViews>
  <sheetFormatPr defaultColWidth="13.66406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12</v>
      </c>
      <c r="B2" s="2" t="s">
        <v>21</v>
      </c>
      <c r="C2" s="4" t="s">
        <v>79</v>
      </c>
      <c r="D2" s="25" t="s">
        <v>31</v>
      </c>
      <c r="E2" s="25" t="s">
        <v>61</v>
      </c>
      <c r="F2">
        <v>29.91</v>
      </c>
      <c r="G2">
        <f t="shared" ref="G2:G8" si="0">(E2-D2)*24</f>
        <v>11</v>
      </c>
      <c r="H2">
        <f>MIN(G2,9)</f>
        <v>9</v>
      </c>
      <c r="I2" s="7">
        <f>IF(MAX(G2-9,0) - 1 &lt; 0, 0, MAX(G2-9,0) - 1)</f>
        <v>1</v>
      </c>
      <c r="J2">
        <f t="shared" ref="J2:J8" si="1">H2*F2</f>
        <v>269.19</v>
      </c>
      <c r="K2">
        <f t="shared" ref="K2:K8" si="2">I2*F2*1.2</f>
        <v>35.891999999999996</v>
      </c>
      <c r="L2">
        <f t="shared" ref="L2:L8" si="3">J2+K2</f>
        <v>305.08199999999999</v>
      </c>
    </row>
    <row r="3" spans="1:12">
      <c r="A3" t="s">
        <v>12</v>
      </c>
      <c r="B3" s="2" t="s">
        <v>21</v>
      </c>
      <c r="C3" s="4" t="s">
        <v>81</v>
      </c>
      <c r="D3" s="25" t="s">
        <v>34</v>
      </c>
      <c r="E3" s="25" t="s">
        <v>34</v>
      </c>
      <c r="F3">
        <v>29.91</v>
      </c>
      <c r="G3">
        <f t="shared" si="0"/>
        <v>0</v>
      </c>
      <c r="H3">
        <f t="shared" ref="H3:H8" si="4">MIN(G3,9)</f>
        <v>0</v>
      </c>
      <c r="I3" s="7">
        <f t="shared" ref="I3:I8" si="5">IF(MAX(G3-9,0) - 1 &lt; 0, 0, MAX(G3-9,0)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12</v>
      </c>
      <c r="B4" s="2" t="s">
        <v>21</v>
      </c>
      <c r="C4" s="4" t="s">
        <v>82</v>
      </c>
      <c r="D4" s="25" t="s">
        <v>88</v>
      </c>
      <c r="E4" s="25" t="s">
        <v>61</v>
      </c>
      <c r="F4">
        <v>29.91</v>
      </c>
      <c r="G4">
        <f t="shared" si="0"/>
        <v>10.9</v>
      </c>
      <c r="H4">
        <f t="shared" si="4"/>
        <v>9</v>
      </c>
      <c r="I4" s="7">
        <f t="shared" si="5"/>
        <v>0.90000000000000036</v>
      </c>
      <c r="J4">
        <f t="shared" si="1"/>
        <v>269.19</v>
      </c>
      <c r="K4">
        <f t="shared" si="2"/>
        <v>32.302800000000012</v>
      </c>
      <c r="L4">
        <f t="shared" si="3"/>
        <v>301.49279999999999</v>
      </c>
    </row>
    <row r="5" spans="1:12">
      <c r="A5" t="s">
        <v>12</v>
      </c>
      <c r="B5" s="2" t="s">
        <v>21</v>
      </c>
      <c r="C5" s="4" t="s">
        <v>83</v>
      </c>
      <c r="D5" s="25" t="s">
        <v>31</v>
      </c>
      <c r="E5" s="25" t="s">
        <v>62</v>
      </c>
      <c r="F5">
        <v>29.91</v>
      </c>
      <c r="G5">
        <f t="shared" si="0"/>
        <v>10.499999999999998</v>
      </c>
      <c r="H5">
        <f t="shared" si="4"/>
        <v>9</v>
      </c>
      <c r="I5" s="7">
        <f t="shared" si="5"/>
        <v>0.49999999999999822</v>
      </c>
      <c r="J5">
        <f t="shared" si="1"/>
        <v>269.19</v>
      </c>
      <c r="K5">
        <f t="shared" si="2"/>
        <v>17.945999999999934</v>
      </c>
      <c r="L5">
        <f t="shared" si="3"/>
        <v>287.13599999999991</v>
      </c>
    </row>
    <row r="6" spans="1:12">
      <c r="A6" t="s">
        <v>12</v>
      </c>
      <c r="B6" s="2" t="s">
        <v>21</v>
      </c>
      <c r="C6" s="4" t="s">
        <v>84</v>
      </c>
      <c r="D6" s="25" t="s">
        <v>89</v>
      </c>
      <c r="E6" s="25" t="s">
        <v>61</v>
      </c>
      <c r="F6">
        <v>29.91</v>
      </c>
      <c r="G6">
        <f t="shared" si="0"/>
        <v>10.983333333333333</v>
      </c>
      <c r="H6">
        <f t="shared" si="4"/>
        <v>9</v>
      </c>
      <c r="I6" s="7">
        <f t="shared" si="5"/>
        <v>0.9833333333333325</v>
      </c>
      <c r="J6">
        <f t="shared" si="1"/>
        <v>269.19</v>
      </c>
      <c r="K6">
        <f t="shared" si="2"/>
        <v>35.293799999999969</v>
      </c>
      <c r="L6">
        <f t="shared" si="3"/>
        <v>304.48379999999997</v>
      </c>
    </row>
    <row r="7" spans="1:12">
      <c r="A7" t="s">
        <v>12</v>
      </c>
      <c r="B7" s="2" t="s">
        <v>21</v>
      </c>
      <c r="C7" s="4" t="s">
        <v>85</v>
      </c>
      <c r="D7" s="25" t="s">
        <v>90</v>
      </c>
      <c r="E7" s="25" t="s">
        <v>61</v>
      </c>
      <c r="F7">
        <v>29.91</v>
      </c>
      <c r="G7">
        <f t="shared" si="0"/>
        <v>10.8</v>
      </c>
      <c r="H7">
        <f t="shared" si="4"/>
        <v>9</v>
      </c>
      <c r="I7" s="7">
        <f t="shared" si="5"/>
        <v>0.80000000000000071</v>
      </c>
      <c r="J7">
        <f t="shared" si="1"/>
        <v>269.19</v>
      </c>
      <c r="K7">
        <f t="shared" si="2"/>
        <v>28.713600000000024</v>
      </c>
      <c r="L7">
        <f t="shared" si="3"/>
        <v>297.90360000000004</v>
      </c>
    </row>
    <row r="8" spans="1:12">
      <c r="A8" t="s">
        <v>12</v>
      </c>
      <c r="B8" s="2" t="s">
        <v>21</v>
      </c>
      <c r="C8" s="4" t="s">
        <v>86</v>
      </c>
      <c r="D8" s="25" t="s">
        <v>91</v>
      </c>
      <c r="E8" s="25" t="s">
        <v>62</v>
      </c>
      <c r="F8">
        <v>29.91</v>
      </c>
      <c r="G8">
        <f t="shared" si="0"/>
        <v>10.383333333333333</v>
      </c>
      <c r="H8">
        <f t="shared" si="4"/>
        <v>9</v>
      </c>
      <c r="I8" s="7">
        <f t="shared" si="5"/>
        <v>0.38333333333333286</v>
      </c>
      <c r="J8">
        <f t="shared" si="1"/>
        <v>269.19</v>
      </c>
      <c r="K8">
        <f t="shared" si="2"/>
        <v>13.758599999999984</v>
      </c>
      <c r="L8">
        <f t="shared" si="3"/>
        <v>282.9486</v>
      </c>
    </row>
    <row r="14" spans="1:12">
      <c r="A14" s="6" t="s">
        <v>37</v>
      </c>
      <c r="B14" s="6" t="s">
        <v>38</v>
      </c>
      <c r="C14" s="6" t="s">
        <v>39</v>
      </c>
      <c r="D14" s="6" t="s">
        <v>40</v>
      </c>
    </row>
    <row r="15" spans="1:12">
      <c r="A15" t="s">
        <v>12</v>
      </c>
      <c r="B15" s="8">
        <f>SUM(J2:J13)</f>
        <v>1615.14</v>
      </c>
      <c r="C15" s="8">
        <f>SUM(K2:K13)</f>
        <v>163.90679999999992</v>
      </c>
      <c r="D15" s="8">
        <f>SUM(L2:L13)</f>
        <v>1779.0467999999998</v>
      </c>
    </row>
    <row r="23" spans="1:4" ht="21.6" customHeight="1">
      <c r="A23" s="29" t="s">
        <v>42</v>
      </c>
      <c r="B23" s="29"/>
      <c r="C23" s="15"/>
      <c r="D23" s="9"/>
    </row>
    <row r="24" spans="1:4">
      <c r="A24" s="10" t="s">
        <v>43</v>
      </c>
      <c r="B24" s="11" t="str">
        <f>A2</f>
        <v>Jay Anne</v>
      </c>
      <c r="C24" s="16"/>
    </row>
    <row r="25" spans="1:4">
      <c r="A25" s="10" t="s">
        <v>44</v>
      </c>
      <c r="B25" s="11" t="s">
        <v>60</v>
      </c>
      <c r="C25" s="16"/>
    </row>
    <row r="26" spans="1:4">
      <c r="A26" s="10" t="s">
        <v>45</v>
      </c>
      <c r="B26" s="12">
        <f>C8+1</f>
        <v>46062</v>
      </c>
      <c r="C26" s="16"/>
    </row>
    <row r="27" spans="1:4">
      <c r="A27" s="10" t="s">
        <v>53</v>
      </c>
      <c r="B27" s="10" t="s">
        <v>87</v>
      </c>
      <c r="C27" s="16"/>
    </row>
    <row r="28" spans="1:4">
      <c r="A28" s="10" t="s">
        <v>108</v>
      </c>
      <c r="B28" s="10">
        <f>COUNTIF(D2:D8, "*:*")</f>
        <v>6</v>
      </c>
      <c r="C28" s="16"/>
    </row>
    <row r="29" spans="1:4">
      <c r="A29" s="13" t="s">
        <v>56</v>
      </c>
      <c r="B29" s="10"/>
      <c r="C29" s="17"/>
    </row>
    <row r="30" spans="1:4">
      <c r="A30" s="10" t="s">
        <v>47</v>
      </c>
      <c r="B30" s="14">
        <f>B15</f>
        <v>1615.14</v>
      </c>
      <c r="C30" s="16"/>
    </row>
    <row r="31" spans="1:4">
      <c r="A31" s="10" t="s">
        <v>46</v>
      </c>
      <c r="B31" s="14">
        <v>0</v>
      </c>
      <c r="C31" s="16"/>
    </row>
    <row r="32" spans="1:4">
      <c r="A32" s="10" t="s">
        <v>6</v>
      </c>
      <c r="B32" s="14">
        <f>C15</f>
        <v>163.90679999999992</v>
      </c>
      <c r="C32" s="16"/>
    </row>
    <row r="33" spans="1:3">
      <c r="A33" s="10" t="s">
        <v>48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49</v>
      </c>
      <c r="B36" s="14">
        <f>D15</f>
        <v>1779.0467999999998</v>
      </c>
      <c r="C36" s="16"/>
    </row>
    <row r="37" spans="1:3">
      <c r="A37" s="10" t="s">
        <v>50</v>
      </c>
      <c r="B37" s="14">
        <v>0</v>
      </c>
      <c r="C37" s="16"/>
    </row>
    <row r="38" spans="1:3">
      <c r="A38" s="10" t="s">
        <v>55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51</v>
      </c>
      <c r="B40" s="14">
        <f>SUM(B36:B38)</f>
        <v>1779.0467999999998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3E5C-238F-42CB-B8CF-6D522BD7B561}">
  <dimension ref="A1:L40"/>
  <sheetViews>
    <sheetView workbookViewId="0">
      <selection activeCell="E6" sqref="E6"/>
    </sheetView>
  </sheetViews>
  <sheetFormatPr defaultColWidth="13.332031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35</v>
      </c>
      <c r="B2" s="2" t="s">
        <v>20</v>
      </c>
      <c r="C2" s="4" t="s">
        <v>79</v>
      </c>
      <c r="D2" s="25" t="s">
        <v>34</v>
      </c>
      <c r="E2" s="25" t="s">
        <v>34</v>
      </c>
      <c r="F2">
        <v>36.32</v>
      </c>
      <c r="G2">
        <f t="shared" ref="G2:G8" si="0">(E2-D2)*24</f>
        <v>0</v>
      </c>
      <c r="H2">
        <f>MIN(G2,9)</f>
        <v>0</v>
      </c>
      <c r="I2" s="7">
        <f>IF(MAX(G2-9,0) - 1 &lt; 0, 0, MAX(G2-9,0)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35</v>
      </c>
      <c r="B3" s="2" t="s">
        <v>20</v>
      </c>
      <c r="C3" s="4" t="s">
        <v>81</v>
      </c>
      <c r="D3" s="25" t="s">
        <v>92</v>
      </c>
      <c r="E3" s="25" t="s">
        <v>57</v>
      </c>
      <c r="F3">
        <v>36.32</v>
      </c>
      <c r="G3">
        <f t="shared" si="0"/>
        <v>10.483333333333334</v>
      </c>
      <c r="H3">
        <f t="shared" ref="H3:H8" si="4">MIN(G3,9)</f>
        <v>9</v>
      </c>
      <c r="I3" s="7">
        <f t="shared" ref="I3:I8" si="5">IF(MAX(G3-9,0) - 1 &lt; 0, 0, MAX(G3-9,0) - 1)</f>
        <v>0.48333333333333428</v>
      </c>
      <c r="J3">
        <f t="shared" si="1"/>
        <v>326.88</v>
      </c>
      <c r="K3">
        <f t="shared" si="2"/>
        <v>21.065600000000043</v>
      </c>
      <c r="L3">
        <f t="shared" si="3"/>
        <v>347.94560000000001</v>
      </c>
    </row>
    <row r="4" spans="1:12">
      <c r="A4" t="s">
        <v>35</v>
      </c>
      <c r="B4" s="2" t="s">
        <v>20</v>
      </c>
      <c r="C4" s="4" t="s">
        <v>82</v>
      </c>
      <c r="D4" s="4" t="s">
        <v>33</v>
      </c>
      <c r="E4" s="25" t="s">
        <v>93</v>
      </c>
      <c r="F4">
        <v>36.32</v>
      </c>
      <c r="G4">
        <f t="shared" si="0"/>
        <v>7.7166666666666668</v>
      </c>
      <c r="H4">
        <f t="shared" si="4"/>
        <v>7.7166666666666668</v>
      </c>
      <c r="I4" s="7">
        <f t="shared" si="5"/>
        <v>0</v>
      </c>
      <c r="J4">
        <f t="shared" si="1"/>
        <v>280.26933333333335</v>
      </c>
      <c r="K4">
        <f t="shared" si="2"/>
        <v>0</v>
      </c>
      <c r="L4">
        <f t="shared" si="3"/>
        <v>280.26933333333335</v>
      </c>
    </row>
    <row r="5" spans="1:12">
      <c r="A5" t="s">
        <v>35</v>
      </c>
      <c r="B5" s="2" t="s">
        <v>20</v>
      </c>
      <c r="C5" s="4" t="s">
        <v>83</v>
      </c>
      <c r="D5" s="4" t="s">
        <v>33</v>
      </c>
      <c r="E5" s="25" t="s">
        <v>57</v>
      </c>
      <c r="F5">
        <v>36.32</v>
      </c>
      <c r="G5">
        <f t="shared" si="0"/>
        <v>13.000000000000002</v>
      </c>
      <c r="H5">
        <f t="shared" si="4"/>
        <v>9</v>
      </c>
      <c r="I5" s="7">
        <f t="shared" si="5"/>
        <v>3.0000000000000018</v>
      </c>
      <c r="J5">
        <f t="shared" si="1"/>
        <v>326.88</v>
      </c>
      <c r="K5">
        <f t="shared" si="2"/>
        <v>130.75200000000007</v>
      </c>
      <c r="L5">
        <f t="shared" si="3"/>
        <v>457.63200000000006</v>
      </c>
    </row>
    <row r="6" spans="1:12">
      <c r="A6" t="s">
        <v>35</v>
      </c>
      <c r="B6" s="2" t="s">
        <v>20</v>
      </c>
      <c r="C6" s="4" t="s">
        <v>84</v>
      </c>
      <c r="D6" s="25" t="s">
        <v>94</v>
      </c>
      <c r="E6" s="25" t="s">
        <v>57</v>
      </c>
      <c r="F6">
        <v>36.32</v>
      </c>
      <c r="G6">
        <f t="shared" si="0"/>
        <v>12.866666666666669</v>
      </c>
      <c r="H6">
        <f t="shared" si="4"/>
        <v>9</v>
      </c>
      <c r="I6" s="7">
        <f t="shared" si="5"/>
        <v>2.8666666666666689</v>
      </c>
      <c r="J6">
        <f t="shared" si="1"/>
        <v>326.88</v>
      </c>
      <c r="K6">
        <f t="shared" si="2"/>
        <v>124.9408000000001</v>
      </c>
      <c r="L6">
        <f t="shared" si="3"/>
        <v>451.82080000000008</v>
      </c>
    </row>
    <row r="7" spans="1:12">
      <c r="A7" t="s">
        <v>35</v>
      </c>
      <c r="B7" s="2" t="s">
        <v>20</v>
      </c>
      <c r="C7" s="4" t="s">
        <v>85</v>
      </c>
      <c r="D7" s="25" t="s">
        <v>34</v>
      </c>
      <c r="E7" s="25" t="s">
        <v>34</v>
      </c>
      <c r="F7">
        <v>36.32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35</v>
      </c>
      <c r="B8" s="2" t="s">
        <v>20</v>
      </c>
      <c r="C8" s="4" t="s">
        <v>86</v>
      </c>
      <c r="D8" s="25" t="s">
        <v>95</v>
      </c>
      <c r="E8" s="25" t="s">
        <v>96</v>
      </c>
      <c r="F8">
        <v>36.32</v>
      </c>
      <c r="G8">
        <f t="shared" si="0"/>
        <v>12.233333333333333</v>
      </c>
      <c r="H8">
        <f t="shared" si="4"/>
        <v>9</v>
      </c>
      <c r="I8" s="7">
        <f t="shared" si="5"/>
        <v>2.2333333333333325</v>
      </c>
      <c r="J8">
        <f t="shared" si="1"/>
        <v>326.88</v>
      </c>
      <c r="K8">
        <f t="shared" si="2"/>
        <v>97.337599999999966</v>
      </c>
      <c r="L8">
        <f t="shared" si="3"/>
        <v>424.21759999999995</v>
      </c>
    </row>
    <row r="14" spans="1:12">
      <c r="A14" s="6" t="s">
        <v>37</v>
      </c>
      <c r="B14" s="6" t="s">
        <v>38</v>
      </c>
      <c r="C14" s="6" t="s">
        <v>39</v>
      </c>
      <c r="D14" s="6" t="s">
        <v>40</v>
      </c>
    </row>
    <row r="15" spans="1:12">
      <c r="A15" t="s">
        <v>35</v>
      </c>
      <c r="B15" s="8">
        <f>SUM(J2:J13)</f>
        <v>1587.7893333333332</v>
      </c>
      <c r="C15" s="8">
        <f>SUM(K2:K13)</f>
        <v>374.09600000000017</v>
      </c>
      <c r="D15" s="8">
        <f>SUM(L2:L13)</f>
        <v>1961.8853333333336</v>
      </c>
    </row>
    <row r="23" spans="1:4" ht="21.6" customHeight="1">
      <c r="A23" s="29" t="s">
        <v>42</v>
      </c>
      <c r="B23" s="29"/>
      <c r="C23" s="15"/>
      <c r="D23" s="9"/>
    </row>
    <row r="24" spans="1:4">
      <c r="A24" s="10" t="s">
        <v>43</v>
      </c>
      <c r="B24" s="11" t="str">
        <f>A2</f>
        <v>Kris Naynayan</v>
      </c>
      <c r="C24" s="16"/>
    </row>
    <row r="25" spans="1:4">
      <c r="A25" s="10" t="s">
        <v>44</v>
      </c>
      <c r="B25" s="11" t="s">
        <v>59</v>
      </c>
      <c r="C25" s="16"/>
    </row>
    <row r="26" spans="1:4">
      <c r="A26" s="10" t="s">
        <v>45</v>
      </c>
      <c r="B26" s="12">
        <f>C8+1</f>
        <v>46062</v>
      </c>
      <c r="C26" s="16"/>
    </row>
    <row r="27" spans="1:4">
      <c r="A27" s="10" t="s">
        <v>53</v>
      </c>
      <c r="B27" s="10" t="s">
        <v>87</v>
      </c>
      <c r="C27" s="16"/>
    </row>
    <row r="28" spans="1:4">
      <c r="A28" s="10" t="s">
        <v>108</v>
      </c>
      <c r="B28" s="10">
        <f>COUNTIF(D2:D8, "*:*")</f>
        <v>5</v>
      </c>
      <c r="C28" s="16"/>
    </row>
    <row r="29" spans="1:4">
      <c r="A29" s="13" t="s">
        <v>56</v>
      </c>
      <c r="B29" s="10"/>
      <c r="C29" s="17"/>
    </row>
    <row r="30" spans="1:4">
      <c r="A30" s="10" t="s">
        <v>47</v>
      </c>
      <c r="B30" s="14">
        <f>B15</f>
        <v>1587.7893333333332</v>
      </c>
      <c r="C30" s="16"/>
    </row>
    <row r="31" spans="1:4">
      <c r="A31" s="10" t="s">
        <v>46</v>
      </c>
      <c r="B31" s="14">
        <v>0</v>
      </c>
      <c r="C31" s="16"/>
    </row>
    <row r="32" spans="1:4">
      <c r="A32" s="10" t="s">
        <v>6</v>
      </c>
      <c r="B32" s="14">
        <f>C15</f>
        <v>374.09600000000017</v>
      </c>
      <c r="C32" s="16"/>
    </row>
    <row r="33" spans="1:3">
      <c r="A33" s="10" t="s">
        <v>48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49</v>
      </c>
      <c r="B36" s="14">
        <f>D15</f>
        <v>1961.8853333333336</v>
      </c>
      <c r="C36" s="16"/>
    </row>
    <row r="37" spans="1:3">
      <c r="A37" s="10" t="s">
        <v>50</v>
      </c>
      <c r="B37" s="14">
        <v>0</v>
      </c>
      <c r="C37" s="16"/>
    </row>
    <row r="38" spans="1:3">
      <c r="A38" s="10" t="s">
        <v>55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51</v>
      </c>
      <c r="B40" s="14">
        <f>SUM(B36:B38)</f>
        <v>1961.8853333333336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8962-D0D1-494A-AACF-3DA1CE2E6240}">
  <dimension ref="A1:L40"/>
  <sheetViews>
    <sheetView workbookViewId="0">
      <selection activeCell="A28" sqref="A28:B28"/>
    </sheetView>
  </sheetViews>
  <sheetFormatPr defaultColWidth="13.332031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16</v>
      </c>
      <c r="B2" s="2" t="s">
        <v>20</v>
      </c>
      <c r="C2" s="4" t="s">
        <v>79</v>
      </c>
      <c r="D2" s="25" t="s">
        <v>97</v>
      </c>
      <c r="E2" s="25" t="s">
        <v>61</v>
      </c>
      <c r="F2">
        <v>36.32</v>
      </c>
      <c r="G2">
        <f t="shared" ref="G2:G8" si="0">(E2-D2)*24</f>
        <v>12.250000000000002</v>
      </c>
      <c r="H2">
        <f>MIN(G2,9)</f>
        <v>9</v>
      </c>
      <c r="I2" s="7">
        <f>IF(MAX(G2-9,0) - 1 &lt; 0, 0, MAX(G2-9,0) - 1)</f>
        <v>2.2500000000000018</v>
      </c>
      <c r="J2">
        <f t="shared" ref="J2:J8" si="1">H2*F2</f>
        <v>326.88</v>
      </c>
      <c r="K2">
        <f>I2*F2*1.2</f>
        <v>98.064000000000078</v>
      </c>
      <c r="L2">
        <f t="shared" ref="L2:L8" si="2">J2+K2</f>
        <v>424.94400000000007</v>
      </c>
    </row>
    <row r="3" spans="1:12">
      <c r="A3" t="s">
        <v>16</v>
      </c>
      <c r="B3" s="2" t="s">
        <v>20</v>
      </c>
      <c r="C3" s="4" t="s">
        <v>81</v>
      </c>
      <c r="D3" s="25" t="s">
        <v>98</v>
      </c>
      <c r="E3" s="25" t="s">
        <v>61</v>
      </c>
      <c r="F3">
        <v>36.32</v>
      </c>
      <c r="G3">
        <f t="shared" si="0"/>
        <v>12.450000000000001</v>
      </c>
      <c r="H3">
        <f t="shared" ref="H3:H8" si="3">MIN(G3,9)</f>
        <v>9</v>
      </c>
      <c r="I3" s="7">
        <f t="shared" ref="I3:I8" si="4">IF(MAX(G3-9,0) - 1 &lt; 0, 0, MAX(G3-9,0) - 1)</f>
        <v>2.4500000000000011</v>
      </c>
      <c r="J3">
        <f t="shared" si="1"/>
        <v>326.88</v>
      </c>
      <c r="K3">
        <f t="shared" ref="K3:K7" si="5">I3*F3*1.2</f>
        <v>106.78080000000004</v>
      </c>
      <c r="L3">
        <f t="shared" si="2"/>
        <v>433.66080000000005</v>
      </c>
    </row>
    <row r="4" spans="1:12">
      <c r="A4" t="s">
        <v>16</v>
      </c>
      <c r="B4" s="2" t="s">
        <v>20</v>
      </c>
      <c r="C4" s="4" t="s">
        <v>82</v>
      </c>
      <c r="D4" s="4" t="s">
        <v>33</v>
      </c>
      <c r="E4" s="25" t="s">
        <v>61</v>
      </c>
      <c r="F4">
        <v>36.32</v>
      </c>
      <c r="G4">
        <f t="shared" si="0"/>
        <v>12.499999999999998</v>
      </c>
      <c r="H4">
        <f t="shared" si="3"/>
        <v>9</v>
      </c>
      <c r="I4" s="7">
        <f t="shared" si="4"/>
        <v>2.4999999999999982</v>
      </c>
      <c r="J4">
        <f t="shared" si="1"/>
        <v>326.88</v>
      </c>
      <c r="K4">
        <f t="shared" si="5"/>
        <v>108.95999999999992</v>
      </c>
      <c r="L4">
        <f t="shared" si="2"/>
        <v>435.83999999999992</v>
      </c>
    </row>
    <row r="5" spans="1:12">
      <c r="A5" t="s">
        <v>16</v>
      </c>
      <c r="B5" s="2" t="s">
        <v>20</v>
      </c>
      <c r="C5" s="4" t="s">
        <v>83</v>
      </c>
      <c r="D5" s="4" t="s">
        <v>33</v>
      </c>
      <c r="E5" s="25" t="s">
        <v>61</v>
      </c>
      <c r="F5">
        <v>36.32</v>
      </c>
      <c r="G5">
        <f t="shared" si="0"/>
        <v>12.499999999999998</v>
      </c>
      <c r="H5">
        <f t="shared" si="3"/>
        <v>9</v>
      </c>
      <c r="I5" s="7">
        <f t="shared" si="4"/>
        <v>2.4999999999999982</v>
      </c>
      <c r="J5">
        <f t="shared" si="1"/>
        <v>326.88</v>
      </c>
      <c r="K5">
        <f t="shared" si="5"/>
        <v>108.95999999999992</v>
      </c>
      <c r="L5">
        <f t="shared" si="2"/>
        <v>435.83999999999992</v>
      </c>
    </row>
    <row r="6" spans="1:12">
      <c r="A6" t="s">
        <v>16</v>
      </c>
      <c r="B6" s="2" t="s">
        <v>20</v>
      </c>
      <c r="C6" s="4" t="s">
        <v>84</v>
      </c>
      <c r="D6" s="4" t="s">
        <v>33</v>
      </c>
      <c r="E6" s="25" t="s">
        <v>61</v>
      </c>
      <c r="F6">
        <v>36.32</v>
      </c>
      <c r="G6">
        <f t="shared" si="0"/>
        <v>12.499999999999998</v>
      </c>
      <c r="H6">
        <f t="shared" si="3"/>
        <v>9</v>
      </c>
      <c r="I6" s="7">
        <f t="shared" si="4"/>
        <v>2.4999999999999982</v>
      </c>
      <c r="J6">
        <f t="shared" si="1"/>
        <v>326.88</v>
      </c>
      <c r="K6">
        <f t="shared" si="5"/>
        <v>108.95999999999992</v>
      </c>
      <c r="L6">
        <f t="shared" si="2"/>
        <v>435.83999999999992</v>
      </c>
    </row>
    <row r="7" spans="1:12">
      <c r="A7" t="s">
        <v>16</v>
      </c>
      <c r="B7" s="2" t="s">
        <v>20</v>
      </c>
      <c r="C7" s="4" t="s">
        <v>85</v>
      </c>
      <c r="D7" s="25" t="s">
        <v>95</v>
      </c>
      <c r="E7" s="25" t="s">
        <v>61</v>
      </c>
      <c r="F7">
        <v>36.32</v>
      </c>
      <c r="G7">
        <f t="shared" si="0"/>
        <v>12.416666666666668</v>
      </c>
      <c r="H7">
        <f t="shared" si="3"/>
        <v>9</v>
      </c>
      <c r="I7" s="7">
        <f t="shared" si="4"/>
        <v>2.4166666666666679</v>
      </c>
      <c r="J7">
        <f t="shared" si="1"/>
        <v>326.88</v>
      </c>
      <c r="K7">
        <f t="shared" si="5"/>
        <v>105.32800000000006</v>
      </c>
      <c r="L7">
        <f t="shared" si="2"/>
        <v>432.20800000000008</v>
      </c>
    </row>
    <row r="8" spans="1:12">
      <c r="A8" t="s">
        <v>16</v>
      </c>
      <c r="B8" s="2" t="s">
        <v>20</v>
      </c>
      <c r="C8" s="4" t="s">
        <v>86</v>
      </c>
      <c r="D8" s="25" t="s">
        <v>34</v>
      </c>
      <c r="E8" s="25" t="s">
        <v>34</v>
      </c>
      <c r="F8">
        <v>36.32</v>
      </c>
      <c r="G8">
        <f t="shared" si="0"/>
        <v>0</v>
      </c>
      <c r="H8">
        <f t="shared" si="3"/>
        <v>0</v>
      </c>
      <c r="I8" s="7">
        <f t="shared" si="4"/>
        <v>0</v>
      </c>
      <c r="J8">
        <f t="shared" si="1"/>
        <v>0</v>
      </c>
      <c r="K8">
        <f>I8*F8*1.2</f>
        <v>0</v>
      </c>
      <c r="L8">
        <f t="shared" si="2"/>
        <v>0</v>
      </c>
    </row>
    <row r="14" spans="1:12">
      <c r="A14" s="6" t="s">
        <v>37</v>
      </c>
      <c r="B14" s="6" t="s">
        <v>38</v>
      </c>
      <c r="C14" s="6" t="s">
        <v>39</v>
      </c>
      <c r="D14" s="6" t="s">
        <v>40</v>
      </c>
    </row>
    <row r="15" spans="1:12">
      <c r="A15" t="s">
        <v>16</v>
      </c>
      <c r="B15" s="8">
        <f>SUM(J2:J13)</f>
        <v>1961.2800000000002</v>
      </c>
      <c r="C15" s="8">
        <f>SUM(K2:K13)</f>
        <v>637.05280000000005</v>
      </c>
      <c r="D15" s="8">
        <f>SUM(L2:L13)</f>
        <v>2598.3327999999997</v>
      </c>
    </row>
    <row r="23" spans="1:4" ht="21.6" customHeight="1">
      <c r="A23" s="29" t="s">
        <v>42</v>
      </c>
      <c r="B23" s="29"/>
      <c r="C23" s="15"/>
      <c r="D23" s="9"/>
    </row>
    <row r="24" spans="1:4">
      <c r="A24" s="10" t="s">
        <v>43</v>
      </c>
      <c r="B24" s="11" t="str">
        <f>A2</f>
        <v>Christian</v>
      </c>
      <c r="C24" s="16"/>
    </row>
    <row r="25" spans="1:4">
      <c r="A25" s="10" t="s">
        <v>44</v>
      </c>
      <c r="B25" s="11" t="s">
        <v>59</v>
      </c>
      <c r="C25" s="16"/>
    </row>
    <row r="26" spans="1:4">
      <c r="A26" s="10" t="s">
        <v>45</v>
      </c>
      <c r="B26" s="12">
        <f>C8+1</f>
        <v>46062</v>
      </c>
      <c r="C26" s="16"/>
    </row>
    <row r="27" spans="1:4">
      <c r="A27" s="10" t="s">
        <v>53</v>
      </c>
      <c r="B27" s="10" t="s">
        <v>87</v>
      </c>
      <c r="C27" s="16"/>
    </row>
    <row r="28" spans="1:4">
      <c r="A28" s="10" t="s">
        <v>108</v>
      </c>
      <c r="B28" s="10">
        <f>COUNTIF(D2:D8, "*:*")</f>
        <v>6</v>
      </c>
      <c r="C28" s="16"/>
    </row>
    <row r="29" spans="1:4">
      <c r="A29" s="13" t="s">
        <v>56</v>
      </c>
      <c r="B29" s="10"/>
      <c r="C29" s="17"/>
    </row>
    <row r="30" spans="1:4">
      <c r="A30" s="10" t="s">
        <v>47</v>
      </c>
      <c r="B30" s="14">
        <f>B15</f>
        <v>1961.2800000000002</v>
      </c>
      <c r="C30" s="16"/>
    </row>
    <row r="31" spans="1:4">
      <c r="A31" s="10" t="s">
        <v>46</v>
      </c>
      <c r="B31" s="14">
        <v>0</v>
      </c>
      <c r="C31" s="16"/>
    </row>
    <row r="32" spans="1:4">
      <c r="A32" s="10" t="s">
        <v>6</v>
      </c>
      <c r="B32" s="14">
        <f>C15</f>
        <v>637.05280000000005</v>
      </c>
      <c r="C32" s="16"/>
    </row>
    <row r="33" spans="1:3">
      <c r="A33" s="10" t="s">
        <v>48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49</v>
      </c>
      <c r="B36" s="14">
        <f>D15</f>
        <v>2598.3327999999997</v>
      </c>
      <c r="C36" s="16"/>
    </row>
    <row r="37" spans="1:3">
      <c r="A37" s="10" t="s">
        <v>50</v>
      </c>
      <c r="B37" s="14">
        <v>0</v>
      </c>
      <c r="C37" s="16"/>
    </row>
    <row r="38" spans="1:3">
      <c r="A38" s="10" t="s">
        <v>55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51</v>
      </c>
      <c r="B40" s="14">
        <f>SUM(B36:B38)</f>
        <v>2598.3327999999997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F988-7769-4140-8CC2-A4FD965041E0}">
  <dimension ref="A1:L40"/>
  <sheetViews>
    <sheetView workbookViewId="0">
      <selection activeCell="D9" sqref="D9"/>
    </sheetView>
  </sheetViews>
  <sheetFormatPr defaultColWidth="14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15</v>
      </c>
      <c r="B2" s="2" t="s">
        <v>20</v>
      </c>
      <c r="C2" s="4" t="s">
        <v>79</v>
      </c>
      <c r="D2" s="25" t="s">
        <v>33</v>
      </c>
      <c r="E2" s="25" t="s">
        <v>99</v>
      </c>
      <c r="F2">
        <v>33.33</v>
      </c>
      <c r="G2">
        <f t="shared" ref="G2:G8" si="0">(E2-D2)*24</f>
        <v>12.900000000000002</v>
      </c>
      <c r="H2">
        <f>MIN(G2,9)</f>
        <v>9</v>
      </c>
      <c r="I2" s="7">
        <f>IF(MAX(G2-9,0) - 1 &lt; 0, 0, MAX(G2-9,0) - 1)</f>
        <v>2.9000000000000021</v>
      </c>
      <c r="J2">
        <f t="shared" ref="J2:J8" si="1">H2*F2</f>
        <v>299.96999999999997</v>
      </c>
      <c r="K2">
        <f t="shared" ref="K2:K8" si="2">I2*F2*1.2</f>
        <v>115.98840000000007</v>
      </c>
      <c r="L2">
        <f t="shared" ref="L2:L8" si="3">J2+K2</f>
        <v>415.95840000000004</v>
      </c>
    </row>
    <row r="3" spans="1:12">
      <c r="A3" t="s">
        <v>15</v>
      </c>
      <c r="B3" s="2" t="s">
        <v>20</v>
      </c>
      <c r="C3" s="4" t="s">
        <v>81</v>
      </c>
      <c r="D3" s="25" t="s">
        <v>33</v>
      </c>
      <c r="E3" s="25" t="s">
        <v>57</v>
      </c>
      <c r="F3">
        <v>33.33</v>
      </c>
      <c r="G3">
        <f t="shared" si="0"/>
        <v>13.000000000000002</v>
      </c>
      <c r="H3">
        <f t="shared" ref="H3:H8" si="4">MIN(G3,9)</f>
        <v>9</v>
      </c>
      <c r="I3" s="7">
        <f t="shared" ref="I3:I8" si="5">IF(MAX(G3-9,0) - 1 &lt; 0, 0, MAX(G3-9,0) - 1)</f>
        <v>3.0000000000000018</v>
      </c>
      <c r="J3">
        <f t="shared" si="1"/>
        <v>299.96999999999997</v>
      </c>
      <c r="K3">
        <f t="shared" si="2"/>
        <v>119.98800000000006</v>
      </c>
      <c r="L3">
        <f t="shared" si="3"/>
        <v>419.95800000000003</v>
      </c>
    </row>
    <row r="4" spans="1:12">
      <c r="A4" t="s">
        <v>15</v>
      </c>
      <c r="B4" s="2" t="s">
        <v>20</v>
      </c>
      <c r="C4" s="4" t="s">
        <v>82</v>
      </c>
      <c r="D4" s="25" t="s">
        <v>34</v>
      </c>
      <c r="E4" s="25" t="s">
        <v>34</v>
      </c>
      <c r="F4">
        <v>33.33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15</v>
      </c>
      <c r="B5" s="2" t="s">
        <v>20</v>
      </c>
      <c r="C5" s="4" t="s">
        <v>83</v>
      </c>
      <c r="D5" s="25" t="s">
        <v>34</v>
      </c>
      <c r="E5" s="25" t="s">
        <v>34</v>
      </c>
      <c r="F5">
        <v>33.33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15</v>
      </c>
      <c r="B6" s="2" t="s">
        <v>20</v>
      </c>
      <c r="C6" s="4" t="s">
        <v>84</v>
      </c>
      <c r="D6" s="25" t="s">
        <v>33</v>
      </c>
      <c r="E6" s="25" t="s">
        <v>57</v>
      </c>
      <c r="F6">
        <v>33.33</v>
      </c>
      <c r="G6">
        <f t="shared" si="0"/>
        <v>13.000000000000002</v>
      </c>
      <c r="H6">
        <f t="shared" si="4"/>
        <v>9</v>
      </c>
      <c r="I6" s="7">
        <f t="shared" si="5"/>
        <v>3.0000000000000018</v>
      </c>
      <c r="J6">
        <f t="shared" si="1"/>
        <v>299.96999999999997</v>
      </c>
      <c r="K6">
        <f t="shared" si="2"/>
        <v>119.98800000000006</v>
      </c>
      <c r="L6">
        <f t="shared" si="3"/>
        <v>419.95800000000003</v>
      </c>
    </row>
    <row r="7" spans="1:12">
      <c r="A7" t="s">
        <v>15</v>
      </c>
      <c r="B7" s="2" t="s">
        <v>20</v>
      </c>
      <c r="C7" s="4" t="s">
        <v>85</v>
      </c>
      <c r="D7" s="25" t="s">
        <v>33</v>
      </c>
      <c r="E7" s="25" t="s">
        <v>57</v>
      </c>
      <c r="F7">
        <v>33.33</v>
      </c>
      <c r="G7">
        <f t="shared" si="0"/>
        <v>13.000000000000002</v>
      </c>
      <c r="H7">
        <f t="shared" si="4"/>
        <v>9</v>
      </c>
      <c r="I7" s="7">
        <f t="shared" si="5"/>
        <v>3.0000000000000018</v>
      </c>
      <c r="J7">
        <f t="shared" si="1"/>
        <v>299.96999999999997</v>
      </c>
      <c r="K7">
        <f t="shared" si="2"/>
        <v>119.98800000000006</v>
      </c>
      <c r="L7">
        <f t="shared" si="3"/>
        <v>419.95800000000003</v>
      </c>
    </row>
    <row r="8" spans="1:12">
      <c r="A8" t="s">
        <v>15</v>
      </c>
      <c r="B8" s="2" t="s">
        <v>20</v>
      </c>
      <c r="C8" s="4" t="s">
        <v>86</v>
      </c>
      <c r="D8" s="25" t="s">
        <v>33</v>
      </c>
      <c r="E8" s="25" t="s">
        <v>96</v>
      </c>
      <c r="F8">
        <v>33.33</v>
      </c>
      <c r="G8">
        <f t="shared" si="0"/>
        <v>12.316666666666668</v>
      </c>
      <c r="H8">
        <f t="shared" si="4"/>
        <v>9</v>
      </c>
      <c r="I8" s="7">
        <f t="shared" si="5"/>
        <v>2.3166666666666682</v>
      </c>
      <c r="J8">
        <f t="shared" si="1"/>
        <v>299.96999999999997</v>
      </c>
      <c r="K8">
        <f t="shared" si="2"/>
        <v>92.657400000000052</v>
      </c>
      <c r="L8">
        <f t="shared" si="3"/>
        <v>392.62740000000002</v>
      </c>
    </row>
    <row r="14" spans="1:12">
      <c r="A14" s="6" t="s">
        <v>37</v>
      </c>
      <c r="B14" s="6" t="s">
        <v>38</v>
      </c>
      <c r="C14" s="6" t="s">
        <v>39</v>
      </c>
      <c r="D14" s="6" t="s">
        <v>40</v>
      </c>
    </row>
    <row r="15" spans="1:12">
      <c r="A15" t="s">
        <v>15</v>
      </c>
      <c r="B15" s="8">
        <f>SUM(J2:J13)</f>
        <v>1499.85</v>
      </c>
      <c r="C15" s="8">
        <f>SUM(K2:K13)</f>
        <v>568.60980000000029</v>
      </c>
      <c r="D15" s="8">
        <f>SUM(L2:L13)</f>
        <v>2068.4598000000001</v>
      </c>
    </row>
    <row r="18" spans="1:11">
      <c r="G18" s="24"/>
      <c r="H18" s="24"/>
      <c r="I18" s="4"/>
      <c r="J18" s="4"/>
      <c r="K18" s="25"/>
    </row>
    <row r="19" spans="1:11">
      <c r="G19" s="24"/>
      <c r="H19" s="24"/>
      <c r="I19" s="4"/>
      <c r="J19" s="4"/>
      <c r="K19" s="25"/>
    </row>
    <row r="20" spans="1:11">
      <c r="G20" s="24"/>
      <c r="H20" s="4"/>
      <c r="I20" s="5"/>
      <c r="J20" s="5"/>
    </row>
    <row r="21" spans="1:11">
      <c r="G21" s="24"/>
      <c r="H21" s="4"/>
      <c r="I21" s="26"/>
      <c r="J21" s="26"/>
    </row>
    <row r="22" spans="1:11">
      <c r="G22" s="24"/>
      <c r="H22" s="4"/>
      <c r="I22" s="5"/>
      <c r="J22" s="5"/>
    </row>
    <row r="23" spans="1:11" ht="21.6" customHeight="1">
      <c r="A23" s="29" t="s">
        <v>42</v>
      </c>
      <c r="B23" s="29"/>
      <c r="C23" s="15"/>
      <c r="D23" s="9"/>
      <c r="G23" s="24"/>
      <c r="H23" s="4"/>
      <c r="I23" s="5"/>
      <c r="J23" s="5"/>
    </row>
    <row r="24" spans="1:11">
      <c r="A24" s="10" t="s">
        <v>43</v>
      </c>
      <c r="B24" s="11" t="str">
        <f>A2</f>
        <v>Cherry</v>
      </c>
      <c r="C24" s="16"/>
      <c r="G24" s="24"/>
      <c r="H24" s="4"/>
      <c r="I24" s="5"/>
      <c r="J24" s="5"/>
    </row>
    <row r="25" spans="1:11">
      <c r="A25" s="10" t="s">
        <v>44</v>
      </c>
      <c r="B25" s="11" t="s">
        <v>59</v>
      </c>
      <c r="C25" s="16"/>
      <c r="G25" s="24"/>
      <c r="H25" s="4"/>
      <c r="I25" s="5"/>
      <c r="J25" s="5"/>
    </row>
    <row r="26" spans="1:11">
      <c r="A26" s="10" t="s">
        <v>45</v>
      </c>
      <c r="B26" s="12">
        <f>C8+1</f>
        <v>46062</v>
      </c>
      <c r="C26" s="16"/>
      <c r="G26" s="24"/>
      <c r="H26" s="4"/>
      <c r="I26" s="26"/>
      <c r="J26" s="26"/>
    </row>
    <row r="27" spans="1:11">
      <c r="A27" s="10" t="s">
        <v>53</v>
      </c>
      <c r="B27" s="10" t="s">
        <v>87</v>
      </c>
      <c r="C27" s="16"/>
      <c r="G27" s="24"/>
      <c r="H27" s="4"/>
      <c r="I27" s="5"/>
      <c r="J27" s="5"/>
    </row>
    <row r="28" spans="1:11">
      <c r="A28" s="10" t="s">
        <v>108</v>
      </c>
      <c r="B28" s="10">
        <f>COUNTIF(D2:D8, "*:*")</f>
        <v>5</v>
      </c>
      <c r="C28" s="16"/>
    </row>
    <row r="29" spans="1:11">
      <c r="A29" s="13" t="s">
        <v>56</v>
      </c>
      <c r="B29" s="10"/>
      <c r="C29" s="17"/>
    </row>
    <row r="30" spans="1:11">
      <c r="A30" s="10" t="s">
        <v>47</v>
      </c>
      <c r="B30" s="14">
        <f>B15</f>
        <v>1499.85</v>
      </c>
      <c r="C30" s="16"/>
    </row>
    <row r="31" spans="1:11">
      <c r="A31" s="10" t="s">
        <v>46</v>
      </c>
      <c r="B31" s="14">
        <v>0</v>
      </c>
      <c r="C31" s="16"/>
    </row>
    <row r="32" spans="1:11">
      <c r="A32" s="10" t="s">
        <v>6</v>
      </c>
      <c r="B32" s="14">
        <f>C15</f>
        <v>568.60980000000029</v>
      </c>
      <c r="C32" s="16"/>
    </row>
    <row r="33" spans="1:3">
      <c r="A33" s="10" t="s">
        <v>48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49</v>
      </c>
      <c r="B36" s="14">
        <f>D15</f>
        <v>2068.4598000000001</v>
      </c>
      <c r="C36" s="16"/>
    </row>
    <row r="37" spans="1:3">
      <c r="A37" s="10" t="s">
        <v>50</v>
      </c>
      <c r="B37" s="14">
        <v>0</v>
      </c>
      <c r="C37" s="16"/>
    </row>
    <row r="38" spans="1:3">
      <c r="A38" s="10" t="s">
        <v>55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51</v>
      </c>
      <c r="B40" s="14">
        <f>SUM(B36:B38)</f>
        <v>2068.4598000000001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E16F-0472-47FF-8517-4F5A3D14423B}">
  <dimension ref="A1:L40"/>
  <sheetViews>
    <sheetView workbookViewId="0">
      <selection activeCell="E2" sqref="E2:E8"/>
    </sheetView>
  </sheetViews>
  <sheetFormatPr defaultColWidth="15.44140625" defaultRowHeight="14.4"/>
  <cols>
    <col min="2" max="2" width="19.441406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17</v>
      </c>
      <c r="B2" s="2" t="s">
        <v>21</v>
      </c>
      <c r="C2" s="4" t="s">
        <v>79</v>
      </c>
      <c r="D2" s="25" t="s">
        <v>34</v>
      </c>
      <c r="E2" s="25" t="s">
        <v>34</v>
      </c>
      <c r="F2">
        <v>27.77</v>
      </c>
      <c r="G2" s="27">
        <f t="shared" ref="G2:G8" si="0">(E2-D2)*24</f>
        <v>0</v>
      </c>
      <c r="H2" s="27">
        <f>MIN(G2,8)</f>
        <v>0</v>
      </c>
      <c r="I2" s="7">
        <f>IF(MAX(G2-9,0) - 1 &lt; 0, 0, MAX(G2-9,0) - 1)</f>
        <v>0</v>
      </c>
      <c r="J2" s="7">
        <f t="shared" ref="J2:J8" si="1">H2*F2</f>
        <v>0</v>
      </c>
      <c r="K2" s="7">
        <f t="shared" ref="K2:K8" si="2">I2*F2*1.2</f>
        <v>0</v>
      </c>
      <c r="L2" s="7">
        <f t="shared" ref="L2:L8" si="3">J2+K2</f>
        <v>0</v>
      </c>
    </row>
    <row r="3" spans="1:12">
      <c r="A3" t="s">
        <v>17</v>
      </c>
      <c r="B3" s="2" t="s">
        <v>21</v>
      </c>
      <c r="C3" s="4" t="s">
        <v>81</v>
      </c>
      <c r="D3" s="25" t="s">
        <v>34</v>
      </c>
      <c r="E3" s="25" t="s">
        <v>34</v>
      </c>
      <c r="F3">
        <v>27.77</v>
      </c>
      <c r="G3" s="27">
        <f t="shared" si="0"/>
        <v>0</v>
      </c>
      <c r="H3" s="27">
        <f t="shared" ref="H3:H6" si="4">MIN(G3,8)</f>
        <v>0</v>
      </c>
      <c r="I3" s="7">
        <f t="shared" ref="I3:I8" si="5">IF(MAX(G3-9,0) - 1 &lt; 0, 0, MAX(G3-9,0) - 1)</f>
        <v>0</v>
      </c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>
      <c r="A4" t="s">
        <v>17</v>
      </c>
      <c r="B4" s="2" t="s">
        <v>21</v>
      </c>
      <c r="C4" s="4" t="s">
        <v>82</v>
      </c>
      <c r="D4" s="25" t="s">
        <v>100</v>
      </c>
      <c r="E4" s="25" t="s">
        <v>61</v>
      </c>
      <c r="F4">
        <v>27.77</v>
      </c>
      <c r="G4" s="27">
        <f t="shared" si="0"/>
        <v>12.016666666666666</v>
      </c>
      <c r="H4" s="27">
        <f t="shared" si="4"/>
        <v>8</v>
      </c>
      <c r="I4" s="7">
        <f t="shared" si="5"/>
        <v>2.0166666666666657</v>
      </c>
      <c r="J4" s="7">
        <f t="shared" si="1"/>
        <v>222.16</v>
      </c>
      <c r="K4" s="7">
        <f t="shared" si="2"/>
        <v>67.203399999999959</v>
      </c>
      <c r="L4" s="7">
        <f t="shared" si="3"/>
        <v>289.36339999999996</v>
      </c>
    </row>
    <row r="5" spans="1:12">
      <c r="A5" t="s">
        <v>17</v>
      </c>
      <c r="B5" s="2" t="s">
        <v>21</v>
      </c>
      <c r="C5" s="4" t="s">
        <v>83</v>
      </c>
      <c r="D5" s="25" t="s">
        <v>101</v>
      </c>
      <c r="E5" s="25" t="s">
        <v>75</v>
      </c>
      <c r="F5">
        <v>27.77</v>
      </c>
      <c r="G5" s="27">
        <f t="shared" si="0"/>
        <v>9.0333333333333332</v>
      </c>
      <c r="H5" s="27">
        <f t="shared" si="4"/>
        <v>8</v>
      </c>
      <c r="I5" s="7">
        <f t="shared" si="5"/>
        <v>0</v>
      </c>
      <c r="J5" s="7">
        <f t="shared" si="1"/>
        <v>222.16</v>
      </c>
      <c r="K5" s="7">
        <f t="shared" si="2"/>
        <v>0</v>
      </c>
      <c r="L5" s="7">
        <f t="shared" si="3"/>
        <v>222.16</v>
      </c>
    </row>
    <row r="6" spans="1:12">
      <c r="A6" t="s">
        <v>17</v>
      </c>
      <c r="B6" s="2" t="s">
        <v>21</v>
      </c>
      <c r="C6" s="4" t="s">
        <v>84</v>
      </c>
      <c r="D6" s="25" t="s">
        <v>34</v>
      </c>
      <c r="E6" s="25" t="s">
        <v>34</v>
      </c>
      <c r="F6">
        <v>27.77</v>
      </c>
      <c r="G6" s="27">
        <f t="shared" si="0"/>
        <v>0</v>
      </c>
      <c r="H6" s="27">
        <f t="shared" si="4"/>
        <v>0</v>
      </c>
      <c r="I6" s="7">
        <f t="shared" si="5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>
      <c r="A7" t="s">
        <v>17</v>
      </c>
      <c r="B7" s="2" t="s">
        <v>21</v>
      </c>
      <c r="C7" s="4" t="s">
        <v>85</v>
      </c>
      <c r="D7" s="25" t="s">
        <v>95</v>
      </c>
      <c r="E7" s="25" t="s">
        <v>61</v>
      </c>
      <c r="F7">
        <v>27.77</v>
      </c>
      <c r="G7" s="7">
        <f t="shared" si="0"/>
        <v>12.416666666666668</v>
      </c>
      <c r="H7" s="7">
        <f t="shared" ref="H7:H8" si="6">MIN(G7,9)</f>
        <v>9</v>
      </c>
      <c r="I7" s="7">
        <f t="shared" si="5"/>
        <v>2.4166666666666679</v>
      </c>
      <c r="J7" s="7">
        <f t="shared" si="1"/>
        <v>249.93</v>
      </c>
      <c r="K7" s="7">
        <f t="shared" si="2"/>
        <v>80.53300000000003</v>
      </c>
      <c r="L7" s="7">
        <f t="shared" si="3"/>
        <v>330.46300000000002</v>
      </c>
    </row>
    <row r="8" spans="1:12">
      <c r="A8" t="s">
        <v>17</v>
      </c>
      <c r="B8" s="2" t="s">
        <v>21</v>
      </c>
      <c r="C8" s="4" t="s">
        <v>86</v>
      </c>
      <c r="D8" s="25" t="s">
        <v>102</v>
      </c>
      <c r="E8" s="25" t="s">
        <v>65</v>
      </c>
      <c r="F8">
        <v>27.77</v>
      </c>
      <c r="G8" s="7">
        <f t="shared" si="0"/>
        <v>6.3833333333333346</v>
      </c>
      <c r="H8" s="7">
        <f t="shared" si="6"/>
        <v>6.3833333333333346</v>
      </c>
      <c r="I8" s="7">
        <f t="shared" si="5"/>
        <v>0</v>
      </c>
      <c r="J8" s="7">
        <f t="shared" si="1"/>
        <v>177.26516666666669</v>
      </c>
      <c r="K8" s="7">
        <f t="shared" si="2"/>
        <v>0</v>
      </c>
      <c r="L8" s="7">
        <f t="shared" si="3"/>
        <v>177.26516666666669</v>
      </c>
    </row>
    <row r="9" spans="1:12">
      <c r="C9" s="18"/>
      <c r="D9" s="19"/>
      <c r="E9" s="19"/>
    </row>
    <row r="14" spans="1:12">
      <c r="A14" s="6" t="s">
        <v>37</v>
      </c>
      <c r="B14" s="6" t="s">
        <v>38</v>
      </c>
      <c r="C14" s="6" t="s">
        <v>39</v>
      </c>
      <c r="D14" s="6" t="s">
        <v>40</v>
      </c>
    </row>
    <row r="15" spans="1:12">
      <c r="A15" t="s">
        <v>17</v>
      </c>
      <c r="B15" s="8">
        <f>SUM(J2:J13)</f>
        <v>871.51516666666669</v>
      </c>
      <c r="C15" s="8">
        <f>SUM(K2:K13)</f>
        <v>147.7364</v>
      </c>
      <c r="D15" s="8">
        <f>SUM(L2:L13)</f>
        <v>1019.2515666666667</v>
      </c>
    </row>
    <row r="23" spans="1:8" ht="21.6" customHeight="1">
      <c r="A23" s="29" t="s">
        <v>42</v>
      </c>
      <c r="B23" s="29"/>
      <c r="C23" s="15"/>
      <c r="D23" s="9"/>
    </row>
    <row r="24" spans="1:8">
      <c r="A24" s="10" t="s">
        <v>43</v>
      </c>
      <c r="B24" s="11" t="str">
        <f>A2</f>
        <v>Aldrin</v>
      </c>
      <c r="C24" s="16"/>
    </row>
    <row r="25" spans="1:8">
      <c r="A25" s="10" t="s">
        <v>44</v>
      </c>
      <c r="B25" s="11" t="s">
        <v>59</v>
      </c>
      <c r="C25" s="16"/>
    </row>
    <row r="26" spans="1:8">
      <c r="A26" s="10" t="s">
        <v>45</v>
      </c>
      <c r="B26" s="12">
        <f>C8+1</f>
        <v>46062</v>
      </c>
      <c r="C26" s="16"/>
    </row>
    <row r="27" spans="1:8">
      <c r="A27" s="10" t="s">
        <v>53</v>
      </c>
      <c r="B27" s="10" t="s">
        <v>87</v>
      </c>
      <c r="C27" s="16"/>
      <c r="H27">
        <v>1460.8871333333334</v>
      </c>
    </row>
    <row r="28" spans="1:8">
      <c r="A28" s="10" t="s">
        <v>108</v>
      </c>
      <c r="B28" s="10">
        <f>COUNTIF(D2:D8, "*:*")</f>
        <v>4</v>
      </c>
      <c r="C28" s="16"/>
      <c r="H28">
        <v>1168.9201333333333</v>
      </c>
    </row>
    <row r="29" spans="1:8">
      <c r="A29" s="13" t="s">
        <v>56</v>
      </c>
      <c r="B29" s="10"/>
      <c r="C29" s="17"/>
      <c r="H29">
        <f>H27-H28</f>
        <v>291.9670000000001</v>
      </c>
    </row>
    <row r="30" spans="1:8">
      <c r="A30" s="10" t="s">
        <v>47</v>
      </c>
      <c r="B30" s="14">
        <f>B15</f>
        <v>871.51516666666669</v>
      </c>
      <c r="C30" s="16"/>
    </row>
    <row r="31" spans="1:8">
      <c r="A31" s="10" t="s">
        <v>46</v>
      </c>
      <c r="B31" s="14">
        <v>0</v>
      </c>
      <c r="C31" s="16"/>
    </row>
    <row r="32" spans="1:8">
      <c r="A32" s="10" t="s">
        <v>6</v>
      </c>
      <c r="B32" s="14">
        <f>C15</f>
        <v>147.7364</v>
      </c>
      <c r="C32" s="16"/>
    </row>
    <row r="33" spans="1:3">
      <c r="A33" s="10" t="s">
        <v>48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49</v>
      </c>
      <c r="B36" s="14">
        <f>D15</f>
        <v>1019.2515666666667</v>
      </c>
      <c r="C36" s="16"/>
    </row>
    <row r="37" spans="1:3">
      <c r="A37" s="10" t="s">
        <v>50</v>
      </c>
      <c r="B37" s="14">
        <v>0</v>
      </c>
      <c r="C37" s="16"/>
    </row>
    <row r="38" spans="1:3">
      <c r="A38" s="10" t="s">
        <v>55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51</v>
      </c>
      <c r="B40" s="14">
        <f>SUM(B36:B38)</f>
        <v>1019.2515666666667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95B1-D515-4FB1-88DC-3DBC5DFD50DD}">
  <dimension ref="A1:L40"/>
  <sheetViews>
    <sheetView workbookViewId="0">
      <selection activeCell="A28" sqref="A28:B28"/>
    </sheetView>
  </sheetViews>
  <sheetFormatPr defaultColWidth="15.332031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36</v>
      </c>
      <c r="B2" s="2" t="s">
        <v>21</v>
      </c>
      <c r="C2" s="4" t="s">
        <v>79</v>
      </c>
      <c r="D2" s="25" t="s">
        <v>103</v>
      </c>
      <c r="E2" s="5" t="s">
        <v>104</v>
      </c>
      <c r="F2">
        <v>27.77</v>
      </c>
      <c r="G2">
        <f t="shared" ref="G2:G8" si="0">(E2-D2)*24</f>
        <v>6.5</v>
      </c>
      <c r="H2">
        <f>MIN(G2,9)</f>
        <v>6.5</v>
      </c>
      <c r="I2" s="7">
        <f>IF(MAX(G2-9,0) - 1 &lt; 0, 0, MAX(G2-9,0) - 1)</f>
        <v>0</v>
      </c>
      <c r="J2">
        <f t="shared" ref="J2:J8" si="1">H2*F2</f>
        <v>180.505</v>
      </c>
      <c r="K2">
        <f t="shared" ref="K2:K8" si="2">I2*F2*1.2</f>
        <v>0</v>
      </c>
      <c r="L2">
        <f t="shared" ref="L2:L8" si="3">J2+K2</f>
        <v>180.505</v>
      </c>
    </row>
    <row r="3" spans="1:12">
      <c r="A3" t="s">
        <v>36</v>
      </c>
      <c r="B3" s="2" t="s">
        <v>21</v>
      </c>
      <c r="C3" s="4" t="s">
        <v>81</v>
      </c>
      <c r="D3" s="25" t="s">
        <v>65</v>
      </c>
      <c r="E3" s="5" t="s">
        <v>32</v>
      </c>
      <c r="F3">
        <v>27.77</v>
      </c>
      <c r="G3">
        <f t="shared" si="0"/>
        <v>4.9999999999999982</v>
      </c>
      <c r="H3">
        <f t="shared" ref="H3:H8" si="4">MIN(G3,9)</f>
        <v>4.9999999999999982</v>
      </c>
      <c r="I3" s="7">
        <f t="shared" ref="I3:I8" si="5">IF(MAX(G3-9,0) - 1 &lt; 0, 0, MAX(G3-9,0) - 1)</f>
        <v>0</v>
      </c>
      <c r="J3">
        <f t="shared" si="1"/>
        <v>138.84999999999994</v>
      </c>
      <c r="K3">
        <f t="shared" si="2"/>
        <v>0</v>
      </c>
      <c r="L3">
        <f t="shared" si="3"/>
        <v>138.84999999999994</v>
      </c>
    </row>
    <row r="4" spans="1:12">
      <c r="A4" t="s">
        <v>36</v>
      </c>
      <c r="B4" s="2" t="s">
        <v>21</v>
      </c>
      <c r="C4" s="4" t="s">
        <v>82</v>
      </c>
      <c r="D4" s="25" t="s">
        <v>105</v>
      </c>
      <c r="E4" s="5" t="s">
        <v>58</v>
      </c>
      <c r="F4">
        <v>27.77</v>
      </c>
      <c r="G4">
        <f t="shared" si="0"/>
        <v>11.166666666666668</v>
      </c>
      <c r="H4">
        <f t="shared" si="4"/>
        <v>9</v>
      </c>
      <c r="I4" s="7">
        <f t="shared" si="5"/>
        <v>1.1666666666666679</v>
      </c>
      <c r="J4">
        <f t="shared" si="1"/>
        <v>249.93</v>
      </c>
      <c r="K4">
        <f t="shared" si="2"/>
        <v>38.878000000000043</v>
      </c>
      <c r="L4">
        <f t="shared" si="3"/>
        <v>288.80800000000005</v>
      </c>
    </row>
    <row r="5" spans="1:12">
      <c r="A5" t="s">
        <v>36</v>
      </c>
      <c r="B5" s="2" t="s">
        <v>21</v>
      </c>
      <c r="C5" s="4" t="s">
        <v>83</v>
      </c>
      <c r="D5" s="25" t="s">
        <v>77</v>
      </c>
      <c r="E5" s="5" t="s">
        <v>106</v>
      </c>
      <c r="F5">
        <v>27.77</v>
      </c>
      <c r="G5">
        <f t="shared" si="0"/>
        <v>9</v>
      </c>
      <c r="H5">
        <f t="shared" si="4"/>
        <v>9</v>
      </c>
      <c r="I5" s="7">
        <f t="shared" si="5"/>
        <v>0</v>
      </c>
      <c r="J5">
        <f t="shared" si="1"/>
        <v>249.93</v>
      </c>
      <c r="K5">
        <f t="shared" si="2"/>
        <v>0</v>
      </c>
      <c r="L5">
        <f t="shared" si="3"/>
        <v>249.93</v>
      </c>
    </row>
    <row r="6" spans="1:12">
      <c r="A6" t="s">
        <v>36</v>
      </c>
      <c r="B6" s="2" t="s">
        <v>21</v>
      </c>
      <c r="C6" s="4" t="s">
        <v>84</v>
      </c>
      <c r="D6" s="25" t="s">
        <v>34</v>
      </c>
      <c r="E6" s="25" t="s">
        <v>34</v>
      </c>
      <c r="F6">
        <v>27.77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36</v>
      </c>
      <c r="B7" s="2" t="s">
        <v>21</v>
      </c>
      <c r="C7" s="4" t="s">
        <v>85</v>
      </c>
      <c r="D7" s="25" t="s">
        <v>34</v>
      </c>
      <c r="E7" s="25" t="s">
        <v>34</v>
      </c>
      <c r="F7">
        <v>27.77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36</v>
      </c>
      <c r="B8" s="2" t="s">
        <v>21</v>
      </c>
      <c r="C8" s="4" t="s">
        <v>86</v>
      </c>
      <c r="D8" s="25" t="s">
        <v>77</v>
      </c>
      <c r="E8" s="5" t="s">
        <v>32</v>
      </c>
      <c r="F8">
        <v>27.77</v>
      </c>
      <c r="G8">
        <f t="shared" si="0"/>
        <v>13</v>
      </c>
      <c r="H8">
        <f t="shared" si="4"/>
        <v>9</v>
      </c>
      <c r="I8" s="7">
        <f t="shared" si="5"/>
        <v>3</v>
      </c>
      <c r="J8">
        <f t="shared" si="1"/>
        <v>249.93</v>
      </c>
      <c r="K8">
        <f t="shared" si="2"/>
        <v>99.971999999999994</v>
      </c>
      <c r="L8">
        <f t="shared" si="3"/>
        <v>349.90199999999999</v>
      </c>
    </row>
    <row r="14" spans="1:12">
      <c r="A14" s="6" t="s">
        <v>37</v>
      </c>
      <c r="B14" s="6" t="s">
        <v>38</v>
      </c>
      <c r="C14" s="6" t="s">
        <v>39</v>
      </c>
      <c r="D14" s="6" t="s">
        <v>40</v>
      </c>
    </row>
    <row r="15" spans="1:12">
      <c r="A15" t="s">
        <v>36</v>
      </c>
      <c r="B15" s="8">
        <f>SUM(J2:J13)</f>
        <v>1069.145</v>
      </c>
      <c r="C15" s="8">
        <f>SUM(K2:K13)</f>
        <v>138.85000000000002</v>
      </c>
      <c r="D15" s="8">
        <f>SUM(L2:L13)</f>
        <v>1207.9950000000001</v>
      </c>
    </row>
    <row r="23" spans="1:4" ht="21.6" customHeight="1">
      <c r="A23" s="29" t="s">
        <v>42</v>
      </c>
      <c r="B23" s="29"/>
      <c r="C23" s="15"/>
      <c r="D23" s="9"/>
    </row>
    <row r="24" spans="1:4">
      <c r="A24" s="10" t="s">
        <v>43</v>
      </c>
      <c r="B24" s="11" t="str">
        <f>A2</f>
        <v>Mark</v>
      </c>
      <c r="C24" s="16"/>
    </row>
    <row r="25" spans="1:4">
      <c r="A25" s="10" t="s">
        <v>44</v>
      </c>
      <c r="B25" s="11" t="s">
        <v>59</v>
      </c>
      <c r="C25" s="16"/>
    </row>
    <row r="26" spans="1:4">
      <c r="A26" s="10" t="s">
        <v>45</v>
      </c>
      <c r="B26" s="12">
        <f>C8+1</f>
        <v>46062</v>
      </c>
      <c r="C26" s="16"/>
    </row>
    <row r="27" spans="1:4">
      <c r="A27" s="10" t="s">
        <v>53</v>
      </c>
      <c r="B27" s="10" t="s">
        <v>87</v>
      </c>
      <c r="C27" s="16"/>
    </row>
    <row r="28" spans="1:4">
      <c r="A28" s="10" t="s">
        <v>108</v>
      </c>
      <c r="B28" s="10">
        <f>COUNTIF(D2:D8, "*:*")</f>
        <v>5</v>
      </c>
      <c r="C28" s="16"/>
    </row>
    <row r="29" spans="1:4">
      <c r="A29" s="13" t="s">
        <v>56</v>
      </c>
      <c r="B29" s="10"/>
      <c r="C29" s="17"/>
    </row>
    <row r="30" spans="1:4">
      <c r="A30" s="10" t="s">
        <v>47</v>
      </c>
      <c r="B30" s="14">
        <f>B15</f>
        <v>1069.145</v>
      </c>
      <c r="C30" s="16"/>
    </row>
    <row r="31" spans="1:4">
      <c r="A31" s="10" t="s">
        <v>46</v>
      </c>
      <c r="B31" s="14">
        <v>0</v>
      </c>
      <c r="C31" s="16"/>
    </row>
    <row r="32" spans="1:4">
      <c r="A32" s="10" t="s">
        <v>6</v>
      </c>
      <c r="B32" s="14">
        <f>C15</f>
        <v>138.85000000000002</v>
      </c>
      <c r="C32" s="16"/>
    </row>
    <row r="33" spans="1:3">
      <c r="A33" s="10" t="s">
        <v>48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49</v>
      </c>
      <c r="B36" s="14">
        <f>D15</f>
        <v>1207.9950000000001</v>
      </c>
      <c r="C36" s="16"/>
    </row>
    <row r="37" spans="1:3">
      <c r="A37" s="10" t="s">
        <v>50</v>
      </c>
      <c r="B37" s="14">
        <v>0</v>
      </c>
      <c r="C37" s="16"/>
    </row>
    <row r="38" spans="1:3">
      <c r="A38" s="10" t="s">
        <v>55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51</v>
      </c>
      <c r="B40" s="14">
        <f>SUM(B36:B38)</f>
        <v>1207.9950000000001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CE5D-73F0-4E00-9429-CB6467F98475}">
  <dimension ref="A1:L40"/>
  <sheetViews>
    <sheetView workbookViewId="0">
      <selection activeCell="A28" sqref="A28:B28"/>
    </sheetView>
  </sheetViews>
  <sheetFormatPr defaultColWidth="14.66406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63</v>
      </c>
      <c r="B2" s="2" t="s">
        <v>64</v>
      </c>
      <c r="C2" s="4" t="s">
        <v>68</v>
      </c>
      <c r="D2" s="25" t="s">
        <v>34</v>
      </c>
      <c r="E2" s="25" t="s">
        <v>34</v>
      </c>
      <c r="F2">
        <v>22.22</v>
      </c>
      <c r="G2" s="7">
        <f t="shared" ref="G2:G8" si="0">(E2-D2)*24</f>
        <v>0</v>
      </c>
      <c r="H2" s="7">
        <f>MIN(G2,9)</f>
        <v>0</v>
      </c>
      <c r="I2" s="7">
        <f>IF(MAX(G2-9,0) - 1 &lt; 0, 0, MAX(G2-9,0) - 1)</f>
        <v>0</v>
      </c>
      <c r="J2" s="7">
        <f t="shared" ref="J2:J8" si="1">H2*F2</f>
        <v>0</v>
      </c>
      <c r="K2" s="7">
        <f t="shared" ref="K2:K8" si="2">I2*F2*1.2</f>
        <v>0</v>
      </c>
      <c r="L2" s="7">
        <f t="shared" ref="L2:L8" si="3">J2+K2</f>
        <v>0</v>
      </c>
    </row>
    <row r="3" spans="1:12">
      <c r="A3" t="s">
        <v>63</v>
      </c>
      <c r="B3" s="2" t="s">
        <v>64</v>
      </c>
      <c r="C3" s="4" t="s">
        <v>69</v>
      </c>
      <c r="D3" s="25" t="s">
        <v>34</v>
      </c>
      <c r="E3" s="25" t="s">
        <v>34</v>
      </c>
      <c r="F3">
        <v>22.22</v>
      </c>
      <c r="G3" s="7">
        <f t="shared" si="0"/>
        <v>0</v>
      </c>
      <c r="H3" s="7">
        <f>MIN(G3,9)</f>
        <v>0</v>
      </c>
      <c r="I3" s="7">
        <f t="shared" ref="I3:I8" si="4">IF(MAX(G3-9,0) - 1 &lt; 0, 0, MAX(G3-9,0) - 1)</f>
        <v>0</v>
      </c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>
      <c r="A4" t="s">
        <v>63</v>
      </c>
      <c r="B4" s="2" t="s">
        <v>64</v>
      </c>
      <c r="C4" s="4" t="s">
        <v>70</v>
      </c>
      <c r="D4" s="25" t="s">
        <v>34</v>
      </c>
      <c r="E4" s="25" t="s">
        <v>34</v>
      </c>
      <c r="F4">
        <v>22.22</v>
      </c>
      <c r="G4" s="7">
        <f t="shared" si="0"/>
        <v>0</v>
      </c>
      <c r="H4" s="7">
        <f t="shared" ref="H4:H8" si="5">MIN(G4,9)</f>
        <v>0</v>
      </c>
      <c r="I4" s="7">
        <f t="shared" si="4"/>
        <v>0</v>
      </c>
      <c r="J4" s="7">
        <f t="shared" si="1"/>
        <v>0</v>
      </c>
      <c r="K4" s="7">
        <f t="shared" si="2"/>
        <v>0</v>
      </c>
      <c r="L4" s="7">
        <f t="shared" si="3"/>
        <v>0</v>
      </c>
    </row>
    <row r="5" spans="1:12">
      <c r="A5" t="s">
        <v>63</v>
      </c>
      <c r="B5" s="2" t="s">
        <v>64</v>
      </c>
      <c r="C5" s="4" t="s">
        <v>71</v>
      </c>
      <c r="D5" s="25" t="s">
        <v>34</v>
      </c>
      <c r="E5" s="25" t="s">
        <v>34</v>
      </c>
      <c r="F5">
        <v>22.22</v>
      </c>
      <c r="G5" s="7">
        <f t="shared" si="0"/>
        <v>0</v>
      </c>
      <c r="H5" s="7">
        <f t="shared" si="5"/>
        <v>0</v>
      </c>
      <c r="I5" s="7">
        <f t="shared" si="4"/>
        <v>0</v>
      </c>
      <c r="J5" s="7">
        <f t="shared" si="1"/>
        <v>0</v>
      </c>
      <c r="K5" s="7">
        <f t="shared" si="2"/>
        <v>0</v>
      </c>
      <c r="L5" s="7">
        <f t="shared" si="3"/>
        <v>0</v>
      </c>
    </row>
    <row r="6" spans="1:12">
      <c r="A6" t="s">
        <v>63</v>
      </c>
      <c r="B6" s="2" t="s">
        <v>64</v>
      </c>
      <c r="C6" s="4" t="s">
        <v>72</v>
      </c>
      <c r="D6" s="25" t="s">
        <v>34</v>
      </c>
      <c r="E6" s="25" t="s">
        <v>34</v>
      </c>
      <c r="F6">
        <v>22.22</v>
      </c>
      <c r="G6" s="7">
        <f t="shared" si="0"/>
        <v>0</v>
      </c>
      <c r="H6" s="7">
        <f t="shared" si="5"/>
        <v>0</v>
      </c>
      <c r="I6" s="7">
        <f t="shared" si="4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>
      <c r="A7" t="s">
        <v>63</v>
      </c>
      <c r="B7" s="28" t="s">
        <v>66</v>
      </c>
      <c r="C7" s="4" t="s">
        <v>73</v>
      </c>
      <c r="D7" s="25" t="s">
        <v>34</v>
      </c>
      <c r="E7" s="25" t="s">
        <v>34</v>
      </c>
      <c r="F7">
        <v>22.22</v>
      </c>
      <c r="G7" s="7">
        <f t="shared" si="0"/>
        <v>0</v>
      </c>
      <c r="H7" s="7">
        <f t="shared" si="5"/>
        <v>0</v>
      </c>
      <c r="I7" s="7">
        <f t="shared" si="4"/>
        <v>0</v>
      </c>
      <c r="J7" s="7">
        <f t="shared" si="1"/>
        <v>0</v>
      </c>
      <c r="K7" s="7">
        <f t="shared" si="2"/>
        <v>0</v>
      </c>
      <c r="L7" s="7">
        <f t="shared" si="3"/>
        <v>0</v>
      </c>
    </row>
    <row r="8" spans="1:12">
      <c r="A8" t="s">
        <v>63</v>
      </c>
      <c r="B8" s="28" t="s">
        <v>66</v>
      </c>
      <c r="C8" s="4" t="s">
        <v>74</v>
      </c>
      <c r="D8" s="25" t="s">
        <v>34</v>
      </c>
      <c r="E8" s="25" t="s">
        <v>34</v>
      </c>
      <c r="F8">
        <v>22.22</v>
      </c>
      <c r="G8" s="7">
        <f t="shared" si="0"/>
        <v>0</v>
      </c>
      <c r="H8" s="7">
        <f t="shared" si="5"/>
        <v>0</v>
      </c>
      <c r="I8" s="7">
        <f t="shared" si="4"/>
        <v>0</v>
      </c>
      <c r="J8" s="7">
        <f t="shared" si="1"/>
        <v>0</v>
      </c>
      <c r="K8" s="7">
        <f t="shared" si="2"/>
        <v>0</v>
      </c>
      <c r="L8" s="7">
        <f t="shared" si="3"/>
        <v>0</v>
      </c>
    </row>
    <row r="14" spans="1:12">
      <c r="A14" s="6" t="s">
        <v>37</v>
      </c>
      <c r="B14" s="6" t="s">
        <v>38</v>
      </c>
      <c r="C14" s="6" t="s">
        <v>39</v>
      </c>
      <c r="D14" s="6" t="s">
        <v>40</v>
      </c>
    </row>
    <row r="15" spans="1:12">
      <c r="A15" t="s">
        <v>63</v>
      </c>
      <c r="B15" s="8">
        <f>SUM(J2:J13)</f>
        <v>0</v>
      </c>
      <c r="C15" s="8">
        <f>SUM(K2:K13)</f>
        <v>0</v>
      </c>
      <c r="D15" s="8">
        <f>SUM(L2:L13)</f>
        <v>0</v>
      </c>
    </row>
    <row r="23" spans="1:4" ht="21.6" customHeight="1">
      <c r="A23" s="29" t="s">
        <v>42</v>
      </c>
      <c r="B23" s="29"/>
      <c r="C23" s="15"/>
      <c r="D23" s="9"/>
    </row>
    <row r="24" spans="1:4">
      <c r="A24" s="10" t="s">
        <v>43</v>
      </c>
      <c r="B24" s="11" t="str">
        <f>A2</f>
        <v>Lenard</v>
      </c>
      <c r="C24" s="16"/>
    </row>
    <row r="25" spans="1:4">
      <c r="A25" s="10" t="s">
        <v>44</v>
      </c>
      <c r="B25" s="11" t="s">
        <v>59</v>
      </c>
      <c r="C25" s="16"/>
    </row>
    <row r="26" spans="1:4">
      <c r="A26" s="10" t="s">
        <v>45</v>
      </c>
      <c r="B26" s="12">
        <f>C8+1</f>
        <v>46055</v>
      </c>
      <c r="C26" s="16"/>
    </row>
    <row r="27" spans="1:4">
      <c r="A27" s="10" t="s">
        <v>53</v>
      </c>
      <c r="B27" s="10" t="s">
        <v>87</v>
      </c>
      <c r="C27" s="16"/>
    </row>
    <row r="28" spans="1:4">
      <c r="A28" s="10" t="s">
        <v>108</v>
      </c>
      <c r="B28" s="10">
        <f>COUNTIF(D2:D8, "*:*")</f>
        <v>0</v>
      </c>
      <c r="C28" s="16"/>
    </row>
    <row r="29" spans="1:4">
      <c r="A29" s="13" t="s">
        <v>56</v>
      </c>
      <c r="B29" s="10"/>
      <c r="C29" s="17"/>
    </row>
    <row r="30" spans="1:4">
      <c r="A30" s="10" t="s">
        <v>47</v>
      </c>
      <c r="B30" s="14">
        <f>B15</f>
        <v>0</v>
      </c>
      <c r="C30" s="16"/>
    </row>
    <row r="31" spans="1:4">
      <c r="A31" s="10" t="s">
        <v>46</v>
      </c>
      <c r="B31" s="14">
        <v>0</v>
      </c>
      <c r="C31" s="16"/>
    </row>
    <row r="32" spans="1:4">
      <c r="A32" s="10" t="s">
        <v>6</v>
      </c>
      <c r="B32" s="14">
        <f>C15</f>
        <v>0</v>
      </c>
      <c r="C32" s="16"/>
    </row>
    <row r="33" spans="1:3">
      <c r="A33" s="10" t="s">
        <v>48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49</v>
      </c>
      <c r="B36" s="14">
        <f>D15</f>
        <v>0</v>
      </c>
      <c r="C36" s="16"/>
    </row>
    <row r="37" spans="1:3">
      <c r="A37" s="10" t="s">
        <v>50</v>
      </c>
      <c r="B37" s="14">
        <v>0</v>
      </c>
      <c r="C37" s="16"/>
    </row>
    <row r="38" spans="1:3">
      <c r="A38" s="10" t="s">
        <v>55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51</v>
      </c>
      <c r="B40" s="14">
        <f>SUM(B36:B38)</f>
        <v>0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A44E-62F2-4540-BF51-2FC725189620}">
  <dimension ref="A1:L40"/>
  <sheetViews>
    <sheetView workbookViewId="0">
      <pane ySplit="1" topLeftCell="A2" activePane="bottomLeft" state="frozen"/>
      <selection pane="bottomLeft" activeCell="A29" sqref="A29"/>
    </sheetView>
  </sheetViews>
  <sheetFormatPr defaultColWidth="12.8867187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</v>
      </c>
      <c r="B2" s="2" t="s">
        <v>20</v>
      </c>
      <c r="C2" s="4" t="s">
        <v>79</v>
      </c>
      <c r="D2" s="5" t="s">
        <v>33</v>
      </c>
      <c r="E2" s="5" t="s">
        <v>104</v>
      </c>
      <c r="F2">
        <v>34.18</v>
      </c>
      <c r="G2">
        <f t="shared" ref="G2:G8" si="0">(E2-D2)*24</f>
        <v>6.5</v>
      </c>
      <c r="H2">
        <f>MIN(G2,9)</f>
        <v>6.5</v>
      </c>
      <c r="I2" s="7">
        <f>IF(MAX(G2-9,0) - 1 &lt; 0, 0, MAX(G2-9,0) - 1)</f>
        <v>0</v>
      </c>
      <c r="J2">
        <f t="shared" ref="J2:J8" si="1">H2*F2</f>
        <v>222.17</v>
      </c>
      <c r="K2" s="7">
        <f t="shared" ref="K2" si="2">I2*F2*1.2</f>
        <v>0</v>
      </c>
      <c r="L2">
        <f t="shared" ref="L2:L8" si="3">J2+K2</f>
        <v>222.17</v>
      </c>
    </row>
    <row r="3" spans="1:12">
      <c r="A3" t="s">
        <v>10</v>
      </c>
      <c r="B3" s="2" t="s">
        <v>20</v>
      </c>
      <c r="C3" s="4" t="s">
        <v>81</v>
      </c>
      <c r="D3" s="5" t="s">
        <v>33</v>
      </c>
      <c r="E3" s="5" t="s">
        <v>67</v>
      </c>
      <c r="F3">
        <v>34.18</v>
      </c>
      <c r="G3">
        <f t="shared" si="0"/>
        <v>10</v>
      </c>
      <c r="H3">
        <f t="shared" ref="H3:H8" si="4">MIN(G3,9)</f>
        <v>9</v>
      </c>
      <c r="I3" s="7">
        <f t="shared" ref="I3:I8" si="5">IF(MAX(G3-9,0) - 1 &lt; 0, 0, MAX(G3-9,0) - 1)</f>
        <v>0</v>
      </c>
      <c r="J3">
        <f t="shared" si="1"/>
        <v>307.62</v>
      </c>
      <c r="K3">
        <f t="shared" ref="K3:K8" si="6">I3*F3*1.2</f>
        <v>0</v>
      </c>
      <c r="L3">
        <f t="shared" si="3"/>
        <v>307.62</v>
      </c>
    </row>
    <row r="4" spans="1:12">
      <c r="A4" t="s">
        <v>10</v>
      </c>
      <c r="B4" s="2" t="s">
        <v>20</v>
      </c>
      <c r="C4" s="4" t="s">
        <v>82</v>
      </c>
      <c r="D4" s="5" t="s">
        <v>33</v>
      </c>
      <c r="E4" s="5" t="s">
        <v>58</v>
      </c>
      <c r="F4">
        <v>34.18</v>
      </c>
      <c r="G4">
        <f t="shared" si="0"/>
        <v>11.5</v>
      </c>
      <c r="H4">
        <f t="shared" si="4"/>
        <v>9</v>
      </c>
      <c r="I4" s="7">
        <f t="shared" si="5"/>
        <v>1.5</v>
      </c>
      <c r="J4">
        <f t="shared" si="1"/>
        <v>307.62</v>
      </c>
      <c r="K4">
        <f t="shared" si="6"/>
        <v>61.523999999999994</v>
      </c>
      <c r="L4">
        <f t="shared" si="3"/>
        <v>369.14400000000001</v>
      </c>
    </row>
    <row r="5" spans="1:12">
      <c r="A5" t="s">
        <v>10</v>
      </c>
      <c r="B5" s="2" t="s">
        <v>20</v>
      </c>
      <c r="C5" s="4" t="s">
        <v>83</v>
      </c>
      <c r="D5" s="5" t="s">
        <v>33</v>
      </c>
      <c r="E5" s="5" t="s">
        <v>106</v>
      </c>
      <c r="F5">
        <v>34.18</v>
      </c>
      <c r="G5">
        <f t="shared" si="0"/>
        <v>9.5</v>
      </c>
      <c r="H5">
        <f t="shared" si="4"/>
        <v>9</v>
      </c>
      <c r="I5" s="7">
        <f t="shared" si="5"/>
        <v>0</v>
      </c>
      <c r="J5">
        <f t="shared" si="1"/>
        <v>307.62</v>
      </c>
      <c r="K5">
        <f t="shared" si="6"/>
        <v>0</v>
      </c>
      <c r="L5">
        <f t="shared" si="3"/>
        <v>307.62</v>
      </c>
    </row>
    <row r="6" spans="1:12">
      <c r="A6" t="s">
        <v>10</v>
      </c>
      <c r="B6" s="2" t="s">
        <v>20</v>
      </c>
      <c r="C6" s="4" t="s">
        <v>84</v>
      </c>
      <c r="D6" s="5" t="s">
        <v>33</v>
      </c>
      <c r="E6" s="5" t="s">
        <v>107</v>
      </c>
      <c r="F6">
        <v>34.18</v>
      </c>
      <c r="G6">
        <f t="shared" si="0"/>
        <v>8.9999999999999982</v>
      </c>
      <c r="H6">
        <f t="shared" si="4"/>
        <v>8.9999999999999982</v>
      </c>
      <c r="I6" s="7">
        <f t="shared" si="5"/>
        <v>0</v>
      </c>
      <c r="J6">
        <f t="shared" si="1"/>
        <v>307.61999999999995</v>
      </c>
      <c r="K6">
        <f t="shared" si="6"/>
        <v>0</v>
      </c>
      <c r="L6">
        <f t="shared" si="3"/>
        <v>307.61999999999995</v>
      </c>
    </row>
    <row r="7" spans="1:12">
      <c r="A7" t="s">
        <v>10</v>
      </c>
      <c r="B7" s="2" t="s">
        <v>20</v>
      </c>
      <c r="C7" s="4" t="s">
        <v>85</v>
      </c>
      <c r="D7" s="5" t="s">
        <v>33</v>
      </c>
      <c r="E7" s="5" t="s">
        <v>65</v>
      </c>
      <c r="F7">
        <v>34.18</v>
      </c>
      <c r="G7">
        <f t="shared" si="0"/>
        <v>8.5</v>
      </c>
      <c r="H7">
        <f t="shared" si="4"/>
        <v>8.5</v>
      </c>
      <c r="I7" s="7">
        <f t="shared" si="5"/>
        <v>0</v>
      </c>
      <c r="J7">
        <f t="shared" si="1"/>
        <v>290.52999999999997</v>
      </c>
      <c r="K7">
        <f t="shared" si="6"/>
        <v>0</v>
      </c>
      <c r="L7">
        <f t="shared" si="3"/>
        <v>290.52999999999997</v>
      </c>
    </row>
    <row r="8" spans="1:12">
      <c r="A8" t="s">
        <v>10</v>
      </c>
      <c r="B8" s="2" t="s">
        <v>20</v>
      </c>
      <c r="C8" s="4" t="s">
        <v>86</v>
      </c>
      <c r="D8" s="5" t="s">
        <v>34</v>
      </c>
      <c r="E8" s="5" t="s">
        <v>34</v>
      </c>
      <c r="F8">
        <v>34.18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6"/>
        <v>0</v>
      </c>
      <c r="L8">
        <f t="shared" si="3"/>
        <v>0</v>
      </c>
    </row>
    <row r="14" spans="1:12">
      <c r="A14" s="6" t="s">
        <v>37</v>
      </c>
      <c r="B14" s="6" t="s">
        <v>38</v>
      </c>
      <c r="C14" s="6" t="s">
        <v>39</v>
      </c>
      <c r="D14" s="6" t="s">
        <v>40</v>
      </c>
    </row>
    <row r="15" spans="1:12">
      <c r="A15" t="s">
        <v>10</v>
      </c>
      <c r="B15" s="8">
        <f>SUM(J2:J13)</f>
        <v>1743.1799999999998</v>
      </c>
      <c r="C15" s="8">
        <f>SUM(K2:K13)</f>
        <v>61.523999999999994</v>
      </c>
      <c r="D15" s="8">
        <f>SUM(L2:L13)</f>
        <v>1804.704</v>
      </c>
    </row>
    <row r="23" spans="1:4" ht="21.6" customHeight="1">
      <c r="A23" s="29" t="s">
        <v>42</v>
      </c>
      <c r="B23" s="29"/>
      <c r="C23" s="15"/>
      <c r="D23" s="9"/>
    </row>
    <row r="24" spans="1:4">
      <c r="A24" s="10" t="s">
        <v>43</v>
      </c>
      <c r="B24" s="11" t="str">
        <f>A2</f>
        <v>Chadiyah</v>
      </c>
      <c r="C24" s="16"/>
    </row>
    <row r="25" spans="1:4">
      <c r="A25" s="10" t="s">
        <v>44</v>
      </c>
      <c r="B25" s="11" t="s">
        <v>59</v>
      </c>
      <c r="C25" s="16"/>
    </row>
    <row r="26" spans="1:4">
      <c r="A26" s="10" t="s">
        <v>45</v>
      </c>
      <c r="B26" s="12">
        <f>C8+1</f>
        <v>46062</v>
      </c>
      <c r="C26" s="16"/>
    </row>
    <row r="27" spans="1:4">
      <c r="A27" s="10" t="s">
        <v>53</v>
      </c>
      <c r="B27" s="10" t="s">
        <v>76</v>
      </c>
      <c r="C27" s="16"/>
    </row>
    <row r="28" spans="1:4">
      <c r="A28" s="10" t="s">
        <v>108</v>
      </c>
      <c r="B28" s="10">
        <f>COUNTIF(D2:D8, "*:*")</f>
        <v>6</v>
      </c>
      <c r="C28" s="16"/>
    </row>
    <row r="29" spans="1:4">
      <c r="A29" s="13" t="s">
        <v>56</v>
      </c>
      <c r="B29" s="10"/>
      <c r="C29" s="17"/>
    </row>
    <row r="30" spans="1:4">
      <c r="A30" s="10" t="s">
        <v>47</v>
      </c>
      <c r="B30" s="14">
        <f>B15</f>
        <v>1743.1799999999998</v>
      </c>
      <c r="C30" s="16"/>
    </row>
    <row r="31" spans="1:4">
      <c r="A31" s="10" t="s">
        <v>46</v>
      </c>
      <c r="B31" s="14">
        <v>0</v>
      </c>
      <c r="C31" s="16"/>
    </row>
    <row r="32" spans="1:4">
      <c r="A32" s="10" t="s">
        <v>6</v>
      </c>
      <c r="B32" s="14">
        <f>C15</f>
        <v>61.523999999999994</v>
      </c>
      <c r="C32" s="16"/>
    </row>
    <row r="33" spans="1:3">
      <c r="A33" s="10" t="s">
        <v>48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49</v>
      </c>
      <c r="B36" s="14">
        <f>D15</f>
        <v>1804.704</v>
      </c>
      <c r="C36" s="16"/>
    </row>
    <row r="37" spans="1:3">
      <c r="A37" s="10" t="s">
        <v>50</v>
      </c>
      <c r="B37" s="14">
        <v>0</v>
      </c>
      <c r="C37" s="16"/>
    </row>
    <row r="38" spans="1:3">
      <c r="A38" s="10" t="s">
        <v>55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51</v>
      </c>
      <c r="B40" s="14">
        <f>SUM(B36:B38)</f>
        <v>1804.704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D239-D6A7-4F4C-A709-6FA44390FCD9}">
  <dimension ref="A1:L40"/>
  <sheetViews>
    <sheetView workbookViewId="0">
      <selection activeCell="L26" sqref="L26"/>
    </sheetView>
  </sheetViews>
  <sheetFormatPr defaultColWidth="14.66406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19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41</v>
      </c>
      <c r="B2" s="2" t="s">
        <v>20</v>
      </c>
      <c r="C2" s="4" t="s">
        <v>24</v>
      </c>
      <c r="D2" s="5" t="s">
        <v>33</v>
      </c>
      <c r="E2" s="5" t="s">
        <v>32</v>
      </c>
      <c r="F2">
        <v>38.46</v>
      </c>
      <c r="G2" s="7">
        <f t="shared" ref="G2:G8" si="0">(E2-D2)*24</f>
        <v>13.5</v>
      </c>
      <c r="H2" s="7">
        <f>MIN(G2,10)</f>
        <v>10</v>
      </c>
      <c r="I2" s="7">
        <f>MAX(G2-10,0) - 1</f>
        <v>2.5</v>
      </c>
      <c r="J2" s="7">
        <f t="shared" ref="J2:J8" si="1">H2*F2</f>
        <v>384.6</v>
      </c>
      <c r="K2" s="7">
        <f t="shared" ref="K2:K8" si="2">I2*F2*1.2</f>
        <v>115.38</v>
      </c>
      <c r="L2" s="7">
        <f t="shared" ref="L2:L8" si="3">J2+K2</f>
        <v>499.98</v>
      </c>
    </row>
    <row r="3" spans="1:12">
      <c r="A3" t="s">
        <v>41</v>
      </c>
      <c r="B3" s="2" t="s">
        <v>20</v>
      </c>
      <c r="C3" s="4" t="s">
        <v>25</v>
      </c>
      <c r="D3" s="5" t="s">
        <v>33</v>
      </c>
      <c r="E3" s="5" t="s">
        <v>32</v>
      </c>
      <c r="F3">
        <v>38.46</v>
      </c>
      <c r="G3" s="7">
        <f t="shared" si="0"/>
        <v>13.5</v>
      </c>
      <c r="H3" s="7">
        <f t="shared" ref="H3:H8" si="4">MIN(G3,10)</f>
        <v>10</v>
      </c>
      <c r="I3" s="7">
        <f t="shared" ref="I3:I8" si="5">MAX(G3-10,0) - 1</f>
        <v>2.5</v>
      </c>
      <c r="J3" s="7">
        <f t="shared" si="1"/>
        <v>384.6</v>
      </c>
      <c r="K3" s="7">
        <f t="shared" si="2"/>
        <v>115.38</v>
      </c>
      <c r="L3" s="7">
        <f t="shared" si="3"/>
        <v>499.98</v>
      </c>
    </row>
    <row r="4" spans="1:12">
      <c r="A4" t="s">
        <v>41</v>
      </c>
      <c r="B4" s="2" t="s">
        <v>20</v>
      </c>
      <c r="C4" s="4" t="s">
        <v>26</v>
      </c>
      <c r="D4" s="5" t="s">
        <v>33</v>
      </c>
      <c r="E4" s="5" t="s">
        <v>32</v>
      </c>
      <c r="F4">
        <v>38.46</v>
      </c>
      <c r="G4" s="7">
        <f t="shared" si="0"/>
        <v>13.5</v>
      </c>
      <c r="H4" s="7">
        <f t="shared" si="4"/>
        <v>10</v>
      </c>
      <c r="I4" s="7">
        <f t="shared" si="5"/>
        <v>2.5</v>
      </c>
      <c r="J4" s="7">
        <f t="shared" si="1"/>
        <v>384.6</v>
      </c>
      <c r="K4" s="7">
        <f t="shared" si="2"/>
        <v>115.38</v>
      </c>
      <c r="L4" s="7">
        <f t="shared" si="3"/>
        <v>499.98</v>
      </c>
    </row>
    <row r="5" spans="1:12">
      <c r="A5" t="s">
        <v>41</v>
      </c>
      <c r="B5" s="2" t="s">
        <v>20</v>
      </c>
      <c r="C5" s="4" t="s">
        <v>27</v>
      </c>
      <c r="D5" s="5" t="s">
        <v>33</v>
      </c>
      <c r="E5" s="5" t="s">
        <v>32</v>
      </c>
      <c r="F5">
        <v>38.46</v>
      </c>
      <c r="G5" s="7">
        <f t="shared" si="0"/>
        <v>13.5</v>
      </c>
      <c r="H5" s="7">
        <f t="shared" si="4"/>
        <v>10</v>
      </c>
      <c r="I5" s="7">
        <f t="shared" si="5"/>
        <v>2.5</v>
      </c>
      <c r="J5" s="7">
        <f t="shared" si="1"/>
        <v>384.6</v>
      </c>
      <c r="K5" s="7">
        <f t="shared" si="2"/>
        <v>115.38</v>
      </c>
      <c r="L5" s="7">
        <f t="shared" si="3"/>
        <v>499.98</v>
      </c>
    </row>
    <row r="6" spans="1:12">
      <c r="A6" t="s">
        <v>41</v>
      </c>
      <c r="B6" s="2" t="s">
        <v>20</v>
      </c>
      <c r="C6" s="4" t="s">
        <v>28</v>
      </c>
      <c r="D6" s="5" t="s">
        <v>33</v>
      </c>
      <c r="E6" s="5" t="s">
        <v>32</v>
      </c>
      <c r="F6">
        <v>38.46</v>
      </c>
      <c r="G6" s="7">
        <f t="shared" si="0"/>
        <v>13.5</v>
      </c>
      <c r="H6" s="7">
        <f t="shared" si="4"/>
        <v>10</v>
      </c>
      <c r="I6" s="7">
        <f t="shared" si="5"/>
        <v>2.5</v>
      </c>
      <c r="J6" s="7">
        <f t="shared" si="1"/>
        <v>384.6</v>
      </c>
      <c r="K6" s="7">
        <f t="shared" si="2"/>
        <v>115.38</v>
      </c>
      <c r="L6" s="7">
        <f t="shared" si="3"/>
        <v>499.98</v>
      </c>
    </row>
    <row r="7" spans="1:12">
      <c r="A7" t="s">
        <v>41</v>
      </c>
      <c r="B7" s="2" t="s">
        <v>20</v>
      </c>
      <c r="C7" s="4" t="s">
        <v>29</v>
      </c>
      <c r="D7" s="5" t="s">
        <v>33</v>
      </c>
      <c r="E7" s="5" t="s">
        <v>32</v>
      </c>
      <c r="F7">
        <v>38.46</v>
      </c>
      <c r="G7" s="7">
        <f t="shared" si="0"/>
        <v>13.5</v>
      </c>
      <c r="H7" s="7">
        <f t="shared" si="4"/>
        <v>10</v>
      </c>
      <c r="I7" s="7">
        <f t="shared" si="5"/>
        <v>2.5</v>
      </c>
      <c r="J7" s="7">
        <f t="shared" si="1"/>
        <v>384.6</v>
      </c>
      <c r="K7" s="7">
        <f t="shared" si="2"/>
        <v>115.38</v>
      </c>
      <c r="L7" s="7">
        <f t="shared" si="3"/>
        <v>499.98</v>
      </c>
    </row>
    <row r="8" spans="1:12">
      <c r="A8" t="s">
        <v>41</v>
      </c>
      <c r="B8" s="2" t="s">
        <v>20</v>
      </c>
      <c r="C8" s="4" t="s">
        <v>30</v>
      </c>
      <c r="D8" s="5" t="s">
        <v>33</v>
      </c>
      <c r="E8" s="5" t="s">
        <v>32</v>
      </c>
      <c r="F8">
        <v>38.46</v>
      </c>
      <c r="G8" s="7">
        <f t="shared" si="0"/>
        <v>13.5</v>
      </c>
      <c r="H8" s="7">
        <f t="shared" si="4"/>
        <v>10</v>
      </c>
      <c r="I8" s="7">
        <f t="shared" si="5"/>
        <v>2.5</v>
      </c>
      <c r="J8" s="7">
        <f t="shared" si="1"/>
        <v>384.6</v>
      </c>
      <c r="K8" s="7">
        <f t="shared" si="2"/>
        <v>115.38</v>
      </c>
      <c r="L8" s="7">
        <f t="shared" si="3"/>
        <v>499.98</v>
      </c>
    </row>
    <row r="14" spans="1:12">
      <c r="A14" s="6" t="s">
        <v>37</v>
      </c>
      <c r="B14" s="6" t="s">
        <v>38</v>
      </c>
      <c r="C14" s="6" t="s">
        <v>39</v>
      </c>
      <c r="D14" s="6" t="s">
        <v>40</v>
      </c>
    </row>
    <row r="15" spans="1:12">
      <c r="A15" t="s">
        <v>14</v>
      </c>
      <c r="B15" s="8">
        <f>SUM(J2:J13)</f>
        <v>2692.2</v>
      </c>
      <c r="C15" s="8">
        <f>SUM(K2:K13)</f>
        <v>807.66</v>
      </c>
      <c r="D15" s="8">
        <f>SUM(L2:L13)</f>
        <v>3499.86</v>
      </c>
    </row>
    <row r="23" spans="1:4" ht="21.6" customHeight="1">
      <c r="A23" s="29" t="s">
        <v>42</v>
      </c>
      <c r="B23" s="29"/>
      <c r="C23" s="15"/>
      <c r="D23" s="9"/>
    </row>
    <row r="24" spans="1:4">
      <c r="A24" s="10" t="s">
        <v>43</v>
      </c>
      <c r="B24" s="11" t="str">
        <f>A2</f>
        <v>Name</v>
      </c>
      <c r="C24" s="16"/>
    </row>
    <row r="25" spans="1:4">
      <c r="A25" s="10" t="s">
        <v>44</v>
      </c>
      <c r="B25" s="11" t="s">
        <v>52</v>
      </c>
      <c r="C25" s="16"/>
    </row>
    <row r="26" spans="1:4">
      <c r="A26" s="10" t="s">
        <v>45</v>
      </c>
      <c r="B26" s="12">
        <v>46041</v>
      </c>
      <c r="C26" s="16"/>
    </row>
    <row r="27" spans="1:4">
      <c r="A27" s="10" t="s">
        <v>53</v>
      </c>
      <c r="B27" s="10" t="s">
        <v>54</v>
      </c>
      <c r="C27" s="16"/>
    </row>
    <row r="28" spans="1:4">
      <c r="A28" s="10"/>
      <c r="B28" s="10"/>
      <c r="C28" s="16"/>
    </row>
    <row r="29" spans="1:4">
      <c r="A29" s="13" t="s">
        <v>56</v>
      </c>
      <c r="B29" s="10"/>
      <c r="C29" s="17"/>
    </row>
    <row r="30" spans="1:4">
      <c r="A30" s="10" t="s">
        <v>47</v>
      </c>
      <c r="B30" s="14">
        <f>B15</f>
        <v>2692.2</v>
      </c>
      <c r="C30" s="16"/>
    </row>
    <row r="31" spans="1:4">
      <c r="A31" s="10" t="s">
        <v>46</v>
      </c>
      <c r="B31" s="14">
        <v>0</v>
      </c>
      <c r="C31" s="16"/>
    </row>
    <row r="32" spans="1:4">
      <c r="A32" s="10" t="s">
        <v>6</v>
      </c>
      <c r="B32" s="14">
        <f>C15</f>
        <v>807.66</v>
      </c>
      <c r="C32" s="16"/>
    </row>
    <row r="33" spans="1:3">
      <c r="A33" s="10" t="s">
        <v>48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49</v>
      </c>
      <c r="B36" s="14">
        <f>D15</f>
        <v>3499.86</v>
      </c>
      <c r="C36" s="16"/>
    </row>
    <row r="37" spans="1:3">
      <c r="A37" s="10" t="s">
        <v>50</v>
      </c>
      <c r="B37" s="14">
        <v>0</v>
      </c>
      <c r="C37" s="16"/>
    </row>
    <row r="38" spans="1:3">
      <c r="A38" s="10" t="s">
        <v>55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51</v>
      </c>
      <c r="B40" s="14">
        <f>SUM(B36:B38)</f>
        <v>3499.86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859D-E532-4AC2-A938-156CCF116C62}">
  <dimension ref="A1:M10"/>
  <sheetViews>
    <sheetView workbookViewId="0">
      <selection activeCell="L10" sqref="L10"/>
    </sheetView>
  </sheetViews>
  <sheetFormatPr defaultColWidth="13.33203125" defaultRowHeight="14.4"/>
  <cols>
    <col min="3" max="3" width="15.5546875" customWidth="1"/>
  </cols>
  <sheetData>
    <row r="1" spans="1:13">
      <c r="A1" t="s">
        <v>9</v>
      </c>
      <c r="B1" t="s">
        <v>11</v>
      </c>
      <c r="C1" t="s">
        <v>19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3">
      <c r="A2" t="s">
        <v>13</v>
      </c>
      <c r="B2" s="2">
        <v>46021</v>
      </c>
      <c r="C2" s="2" t="s">
        <v>22</v>
      </c>
      <c r="D2" s="1">
        <v>0.45833333333333331</v>
      </c>
      <c r="E2" s="1">
        <v>0.99930555555555556</v>
      </c>
      <c r="F2">
        <v>29.91</v>
      </c>
      <c r="G2">
        <v>15</v>
      </c>
      <c r="H2">
        <f t="shared" ref="H2:H8" si="0">MIN(G2,9)</f>
        <v>9</v>
      </c>
      <c r="I2">
        <f t="shared" ref="I2:I8" si="1">MAX(G2-9,0) - 1</f>
        <v>5</v>
      </c>
      <c r="J2">
        <f t="shared" ref="J2:J8" si="2">H2*F2</f>
        <v>269.19</v>
      </c>
      <c r="K2">
        <f t="shared" ref="K2:K7" si="3">I2*F2*1.2</f>
        <v>179.46</v>
      </c>
      <c r="L2">
        <f t="shared" ref="L2:L8" si="4">J2+K2</f>
        <v>448.65</v>
      </c>
    </row>
    <row r="3" spans="1:13">
      <c r="A3" t="s">
        <v>13</v>
      </c>
      <c r="B3" s="2">
        <v>46022</v>
      </c>
      <c r="C3" s="2" t="s">
        <v>22</v>
      </c>
      <c r="D3" s="1">
        <v>0.41666666666666669</v>
      </c>
      <c r="E3" s="1">
        <v>0.8125</v>
      </c>
      <c r="F3">
        <v>29.91</v>
      </c>
      <c r="G3">
        <f t="shared" ref="G3:G8" si="5">(E3-D3)*24</f>
        <v>9.5</v>
      </c>
      <c r="H3">
        <f t="shared" si="0"/>
        <v>9</v>
      </c>
      <c r="I3">
        <f t="shared" si="1"/>
        <v>-0.5</v>
      </c>
      <c r="J3">
        <f t="shared" si="2"/>
        <v>269.19</v>
      </c>
      <c r="L3">
        <v>538</v>
      </c>
      <c r="M3" t="s">
        <v>23</v>
      </c>
    </row>
    <row r="4" spans="1:13">
      <c r="A4" t="s">
        <v>13</v>
      </c>
      <c r="B4" s="2">
        <v>46027</v>
      </c>
      <c r="C4" s="2" t="s">
        <v>22</v>
      </c>
      <c r="D4" s="1">
        <v>0.375</v>
      </c>
      <c r="E4" s="1">
        <v>0.91666666666666663</v>
      </c>
      <c r="F4">
        <v>29.91</v>
      </c>
      <c r="G4">
        <f t="shared" si="5"/>
        <v>13</v>
      </c>
      <c r="H4">
        <f t="shared" si="0"/>
        <v>9</v>
      </c>
      <c r="I4">
        <f t="shared" si="1"/>
        <v>3</v>
      </c>
      <c r="J4">
        <f t="shared" si="2"/>
        <v>269.19</v>
      </c>
      <c r="K4">
        <f t="shared" si="3"/>
        <v>107.676</v>
      </c>
      <c r="L4">
        <f t="shared" si="4"/>
        <v>376.86599999999999</v>
      </c>
    </row>
    <row r="5" spans="1:13">
      <c r="A5" t="s">
        <v>13</v>
      </c>
      <c r="B5" s="2">
        <v>46028</v>
      </c>
      <c r="C5" s="2" t="s">
        <v>22</v>
      </c>
      <c r="D5" s="1">
        <v>0.375</v>
      </c>
      <c r="E5" s="1">
        <v>0.875</v>
      </c>
      <c r="F5">
        <v>29.91</v>
      </c>
      <c r="G5">
        <f t="shared" si="5"/>
        <v>12</v>
      </c>
      <c r="H5">
        <f t="shared" si="0"/>
        <v>9</v>
      </c>
      <c r="I5">
        <f t="shared" si="1"/>
        <v>2</v>
      </c>
      <c r="J5">
        <f t="shared" si="2"/>
        <v>269.19</v>
      </c>
      <c r="K5">
        <f t="shared" si="3"/>
        <v>71.783999999999992</v>
      </c>
      <c r="L5">
        <f t="shared" si="4"/>
        <v>340.97399999999999</v>
      </c>
    </row>
    <row r="6" spans="1:13">
      <c r="A6" t="s">
        <v>13</v>
      </c>
      <c r="B6" s="2">
        <v>46029</v>
      </c>
      <c r="C6" s="2" t="s">
        <v>22</v>
      </c>
      <c r="D6" s="1">
        <v>0.375</v>
      </c>
      <c r="E6" s="1">
        <v>0.9375</v>
      </c>
      <c r="F6">
        <v>29.91</v>
      </c>
      <c r="G6">
        <f t="shared" si="5"/>
        <v>13.5</v>
      </c>
      <c r="H6">
        <f t="shared" si="0"/>
        <v>9</v>
      </c>
      <c r="I6">
        <f t="shared" si="1"/>
        <v>3.5</v>
      </c>
      <c r="J6">
        <f t="shared" si="2"/>
        <v>269.19</v>
      </c>
      <c r="K6">
        <f t="shared" si="3"/>
        <v>125.622</v>
      </c>
      <c r="L6">
        <f t="shared" si="4"/>
        <v>394.81200000000001</v>
      </c>
    </row>
    <row r="7" spans="1:13">
      <c r="A7" t="s">
        <v>13</v>
      </c>
      <c r="B7" s="2">
        <v>46030</v>
      </c>
      <c r="C7" s="2" t="s">
        <v>22</v>
      </c>
      <c r="D7" s="1">
        <v>0.375</v>
      </c>
      <c r="E7" s="1">
        <v>0.99930555555555556</v>
      </c>
      <c r="F7">
        <v>29.91</v>
      </c>
      <c r="G7">
        <v>15</v>
      </c>
      <c r="H7">
        <f t="shared" si="0"/>
        <v>9</v>
      </c>
      <c r="I7">
        <f t="shared" si="1"/>
        <v>5</v>
      </c>
      <c r="J7">
        <f t="shared" si="2"/>
        <v>269.19</v>
      </c>
      <c r="K7">
        <f t="shared" si="3"/>
        <v>179.46</v>
      </c>
      <c r="L7">
        <f t="shared" si="4"/>
        <v>448.65</v>
      </c>
    </row>
    <row r="8" spans="1:13">
      <c r="A8" t="s">
        <v>13</v>
      </c>
      <c r="B8" s="2">
        <v>46031</v>
      </c>
      <c r="C8" s="2" t="s">
        <v>22</v>
      </c>
      <c r="D8" s="1">
        <v>0.51041666666666663</v>
      </c>
      <c r="E8" s="1">
        <v>0.91805555555555551</v>
      </c>
      <c r="F8">
        <v>29.91</v>
      </c>
      <c r="G8">
        <f t="shared" si="5"/>
        <v>9.7833333333333332</v>
      </c>
      <c r="H8">
        <f t="shared" si="0"/>
        <v>9</v>
      </c>
      <c r="I8">
        <f t="shared" si="1"/>
        <v>-0.21666666666666679</v>
      </c>
      <c r="J8">
        <f t="shared" si="2"/>
        <v>269.19</v>
      </c>
      <c r="L8">
        <f t="shared" si="4"/>
        <v>269.19</v>
      </c>
    </row>
    <row r="9" spans="1:13">
      <c r="A9" t="s">
        <v>13</v>
      </c>
      <c r="B9" s="2">
        <v>46032</v>
      </c>
      <c r="C9" s="2" t="s">
        <v>22</v>
      </c>
      <c r="D9" s="1">
        <v>0.43402777777777779</v>
      </c>
      <c r="E9" s="1">
        <v>0.90625</v>
      </c>
      <c r="F9">
        <v>29.91</v>
      </c>
      <c r="G9">
        <f t="shared" ref="G9" si="6">(E9-D9)*24</f>
        <v>11.333333333333332</v>
      </c>
      <c r="H9">
        <f t="shared" ref="H9" si="7">MIN(G9,9)</f>
        <v>9</v>
      </c>
      <c r="I9">
        <f t="shared" ref="I9" si="8">MAX(G9-9,0) - 1</f>
        <v>1.3333333333333321</v>
      </c>
      <c r="J9">
        <f t="shared" ref="J9" si="9">H9*F9</f>
        <v>269.19</v>
      </c>
      <c r="K9">
        <f t="shared" ref="K9" si="10">I9*F9*1.2</f>
        <v>47.855999999999959</v>
      </c>
      <c r="L9">
        <f t="shared" ref="L9" si="11">J9+K9</f>
        <v>317.04599999999994</v>
      </c>
    </row>
    <row r="10" spans="1:13">
      <c r="B10" s="2"/>
      <c r="C10" s="2"/>
      <c r="D10" s="1"/>
      <c r="E10" s="1"/>
      <c r="J10">
        <f>SUM(J2:J9)</f>
        <v>2153.52</v>
      </c>
      <c r="K10">
        <f>SUM(K2:K9)</f>
        <v>711.85800000000006</v>
      </c>
      <c r="L10" s="3">
        <f>SUM(L2:L9)</f>
        <v>3134.1880000000001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8623-E844-4D1F-8BC4-C727F45E2FF5}">
  <dimension ref="A1:L9"/>
  <sheetViews>
    <sheetView workbookViewId="0">
      <selection activeCell="L12" sqref="L12"/>
    </sheetView>
  </sheetViews>
  <sheetFormatPr defaultColWidth="14.33203125" defaultRowHeight="14.4"/>
  <sheetData>
    <row r="1" spans="1:12">
      <c r="A1" t="s">
        <v>9</v>
      </c>
      <c r="B1" t="s">
        <v>11</v>
      </c>
      <c r="C1" t="s">
        <v>19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18</v>
      </c>
      <c r="B2" s="2">
        <v>46027</v>
      </c>
      <c r="C2" s="2"/>
      <c r="D2" s="1"/>
      <c r="E2" s="1"/>
    </row>
    <row r="3" spans="1:12">
      <c r="A3" t="s">
        <v>18</v>
      </c>
      <c r="B3" s="2">
        <v>46028</v>
      </c>
      <c r="C3" s="2"/>
      <c r="D3" s="1"/>
      <c r="E3" s="1"/>
    </row>
    <row r="4" spans="1:12">
      <c r="A4" t="s">
        <v>18</v>
      </c>
      <c r="B4" s="2">
        <v>46029</v>
      </c>
      <c r="C4" s="2"/>
      <c r="D4" s="1"/>
      <c r="E4" s="1"/>
    </row>
    <row r="5" spans="1:12">
      <c r="A5" t="s">
        <v>18</v>
      </c>
      <c r="B5" s="2">
        <v>46030</v>
      </c>
      <c r="C5" s="2"/>
      <c r="D5" s="1"/>
      <c r="E5" s="1"/>
    </row>
    <row r="6" spans="1:12">
      <c r="A6" t="s">
        <v>18</v>
      </c>
      <c r="B6" s="2">
        <v>46031</v>
      </c>
      <c r="C6" s="2"/>
      <c r="D6" s="1">
        <v>0.70833333333333337</v>
      </c>
      <c r="E6" s="1">
        <v>0.9375</v>
      </c>
      <c r="F6">
        <v>22.22</v>
      </c>
      <c r="G6">
        <f t="shared" ref="G6:G8" si="0">(E6-D6)*24</f>
        <v>5.4999999999999991</v>
      </c>
      <c r="H6">
        <f t="shared" ref="H6:H8" si="1">MIN(G6,9)</f>
        <v>5.4999999999999991</v>
      </c>
      <c r="I6">
        <f t="shared" ref="I6:I8" si="2">MAX(G6-9,0) - 1</f>
        <v>-1</v>
      </c>
      <c r="J6">
        <f t="shared" ref="J6:J8" si="3">H6*F6</f>
        <v>122.20999999999998</v>
      </c>
      <c r="L6">
        <f t="shared" ref="L6:L8" si="4">J6+K6</f>
        <v>122.20999999999998</v>
      </c>
    </row>
    <row r="7" spans="1:12">
      <c r="A7" t="s">
        <v>18</v>
      </c>
      <c r="B7" s="2">
        <v>46032</v>
      </c>
      <c r="C7" s="2"/>
      <c r="D7" s="1">
        <v>0.70833333333333337</v>
      </c>
      <c r="E7" s="1">
        <v>0.91666666666666663</v>
      </c>
      <c r="F7">
        <v>22.22</v>
      </c>
      <c r="G7">
        <f t="shared" si="0"/>
        <v>4.9999999999999982</v>
      </c>
      <c r="H7">
        <f t="shared" si="1"/>
        <v>4.9999999999999982</v>
      </c>
      <c r="I7">
        <f t="shared" si="2"/>
        <v>-1</v>
      </c>
      <c r="J7">
        <f t="shared" si="3"/>
        <v>111.09999999999995</v>
      </c>
      <c r="L7">
        <f t="shared" si="4"/>
        <v>111.09999999999995</v>
      </c>
    </row>
    <row r="8" spans="1:12">
      <c r="A8" t="s">
        <v>18</v>
      </c>
      <c r="B8" s="2">
        <v>46033</v>
      </c>
      <c r="C8" s="2"/>
      <c r="D8" s="1">
        <v>0.72986111111111107</v>
      </c>
      <c r="E8" s="1">
        <v>0.91666666666666663</v>
      </c>
      <c r="F8">
        <v>22.22</v>
      </c>
      <c r="G8">
        <f t="shared" si="0"/>
        <v>4.4833333333333334</v>
      </c>
      <c r="H8">
        <f t="shared" si="1"/>
        <v>4.4833333333333334</v>
      </c>
      <c r="I8">
        <f t="shared" si="2"/>
        <v>-1</v>
      </c>
      <c r="J8">
        <f t="shared" si="3"/>
        <v>99.61966666666666</v>
      </c>
      <c r="L8">
        <f t="shared" si="4"/>
        <v>99.61966666666666</v>
      </c>
    </row>
    <row r="9" spans="1:12">
      <c r="L9">
        <f>SUM(L6:L8)</f>
        <v>332.92966666666661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Payslip</vt:lpstr>
      <vt:lpstr>Summary</vt:lpstr>
      <vt:lpstr>Rhea Mae</vt:lpstr>
      <vt:lpstr>Jay Anne</vt:lpstr>
      <vt:lpstr>Kris</vt:lpstr>
      <vt:lpstr>Christian</vt:lpstr>
      <vt:lpstr>Cherry</vt:lpstr>
      <vt:lpstr>Aldrin</vt:lpstr>
      <vt:lpstr>Mark</vt:lpstr>
      <vt:lpstr>Lenard</vt:lpstr>
      <vt:lpstr>Chadiyah</vt:lpstr>
      <vt:lpstr>Template</vt:lpstr>
      <vt:lpstr>Rhoda</vt:lpstr>
      <vt:lpstr>Kenneth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Nico Lazarra</dc:creator>
  <cp:lastModifiedBy>Chad Nico Lazarra</cp:lastModifiedBy>
  <cp:lastPrinted>2026-02-09T11:46:29Z</cp:lastPrinted>
  <dcterms:created xsi:type="dcterms:W3CDTF">2025-12-15T10:27:30Z</dcterms:created>
  <dcterms:modified xsi:type="dcterms:W3CDTF">2026-02-09T13:13:41Z</dcterms:modified>
</cp:coreProperties>
</file>