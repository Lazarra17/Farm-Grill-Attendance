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0ADA6175-2F28-4E6B-AF8C-DED1021B5357}" xr6:coauthVersionLast="47" xr6:coauthVersionMax="47" xr10:uidLastSave="{00000000-0000-0000-0000-000000000000}"/>
  <bookViews>
    <workbookView xWindow="28680" yWindow="-120" windowWidth="29040" windowHeight="15720" firstSheet="1" activeTab="8" xr2:uid="{00BF821E-BFB9-4523-9564-A672F7161683}"/>
  </bookViews>
  <sheets>
    <sheet name="Payslip" sheetId="15" r:id="rId1"/>
    <sheet name="Summary" sheetId="17" r:id="rId2"/>
    <sheet name="Kent" sheetId="4" r:id="rId3"/>
    <sheet name="Jay Anne" sheetId="3" r:id="rId4"/>
    <sheet name="Kris" sheetId="2" r:id="rId5"/>
    <sheet name="Cherry" sheetId="5" r:id="rId6"/>
    <sheet name="Ruela" sheetId="6" r:id="rId7"/>
    <sheet name="Aldrin" sheetId="7" r:id="rId8"/>
    <sheet name="Mark" sheetId="11" r:id="rId9"/>
    <sheet name="David" sheetId="18" r:id="rId10"/>
    <sheet name="Chardiya" sheetId="1" r:id="rId11"/>
    <sheet name="Lenard" sheetId="16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66" i="15" s="1"/>
  <c r="B27" i="7"/>
  <c r="B27" i="5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E22" i="15" s="1"/>
  <c r="B24" i="5"/>
  <c r="B43" i="15" s="1"/>
  <c r="B24" i="3"/>
  <c r="E2" i="15" s="1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I8" i="5"/>
  <c r="I7" i="5"/>
  <c r="I6" i="5"/>
  <c r="I5" i="5"/>
  <c r="I4" i="5"/>
  <c r="I3" i="5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L8" i="4" l="1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<sst xmlns="http://schemas.openxmlformats.org/spreadsheetml/2006/main" count="1146" uniqueCount="166">
  <si>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</si>
  <si>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</si>
  <si>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</si>
  <si>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</si>
  <si>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</si>
  <si>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</si>
  <si>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</si>
  <si>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</si>
  <si>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</si>
  <si>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</si>
  <si>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</si>
  <si>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</si>
  <si>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</si>
  <si>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</si>
  <si>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</si>
  <si>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</si>
  <si>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</si>
  <si>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</si>
  <si>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</si>
  <si>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</si>
  <si>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</si>
  <si>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</si>
  <si>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</si>
  <si>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</si>
  <si>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</si>
  <si>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</si>
  <si>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</si>
  <si>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</si>
  <si>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</si>
  <si>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</si>
  <si>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</si>
  <si>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</si>
  <si>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</si>
  <si>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</si>
  <si>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</si>
  <si>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</si>
  <si>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</si>
  <si>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</si>
  <si>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</si>
  <si>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</si>
  <si>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</si>
  <si>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</si>
  <si>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</si>
  <si>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</si>
  <si>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</si>
  <si>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</si>
  <si>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</si>
  <si>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</si>
  <si>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</si>
  <si>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</si>
  <si>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</si>
  <si>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</si>
  <si>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</si>
  <si>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</si>
  <si>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</si>
  <si>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</si>
  <si>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</si>
  <si>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</si>
  <si>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</si>
  <si>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</si>
  <si>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</si>
  <si>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</si>
  <si>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</si>
  <si>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</si>
  <si>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</si>
  <si>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</si>
  <si>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</si>
  <si>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</si>
  <si>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</si>
  <si>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</si>
  <si>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</si>
  <si>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</si>
  <si>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</si>
  <si>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</si>
  <si>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</si>
  <si>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</si>
  <si>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</si>
  <si>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</si>
  <si>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</si>
  <si>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</si>
  <si>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</si>
  <si>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</si>
  <si>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</si>
  <si>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</si>
  <si>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</si>
  <si>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</si>
  <si>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</si>
  <si>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</si>
  <si>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</si>
  <si>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</si>
  <si>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</si>
  <si>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</si>
  <si>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cherry</t>
  </si>
  <si>
    <t>aldrin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</si>
  <si>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</si>
  <si>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</si>
  <si>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</si>
  <si>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</si>
  <si>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</si>
  <si>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</si>
  <si>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</si>
  <si>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</si>
  <si>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</si>
  <si>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</si>
  <si>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</si>
  <si>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ruela</t>
  </si>
  <si>
    <t>Ruela</t>
  </si>
  <si>
    <t>Kent</t>
  </si>
  <si>
    <t>09:30</t>
  </si>
  <si>
    <t>kent</t>
  </si>
  <si>
    <t>Cook</t>
  </si>
  <si>
    <t>10:00</t>
  </si>
  <si>
    <t>08:00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</si>
  <si>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</si>
  <si>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</si>
  <si>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</si>
  <si>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</si>
  <si>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</si>
  <si>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</si>
  <si>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</si>
  <si>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22:26</t>
  </si>
  <si>
    <t>22:18</t>
  </si>
  <si>
    <t>09:21</t>
  </si>
  <si>
    <t>22:21</t>
  </si>
  <si>
    <t>2026-04-06</t>
  </si>
  <si>
    <t>08:14</t>
  </si>
  <si>
    <t>21:38</t>
  </si>
  <si>
    <t>2026-04-07</t>
  </si>
  <si>
    <t>08:17</t>
  </si>
  <si>
    <t>21:33</t>
  </si>
  <si>
    <t>2026-04-08</t>
  </si>
  <si>
    <t>2026-04-09</t>
  </si>
  <si>
    <t>08:22</t>
  </si>
  <si>
    <t>21:27</t>
  </si>
  <si>
    <t>2026-04-10</t>
  </si>
  <si>
    <t>08:26</t>
  </si>
  <si>
    <t>2026-04-11</t>
  </si>
  <si>
    <t>2026-04-12</t>
  </si>
  <si>
    <t>2026-04-13</t>
  </si>
  <si>
    <t>21:42</t>
  </si>
  <si>
    <t>09:06</t>
  </si>
  <si>
    <t>21:39</t>
  </si>
  <si>
    <t>09:31</t>
  </si>
  <si>
    <t>09:16</t>
  </si>
  <si>
    <t>09:32</t>
  </si>
  <si>
    <t>08:39</t>
  </si>
  <si>
    <t>21:35</t>
  </si>
  <si>
    <t>08:48</t>
  </si>
  <si>
    <t>08:06</t>
  </si>
  <si>
    <t>21:56</t>
  </si>
  <si>
    <t>08:37</t>
  </si>
  <si>
    <t>08:32</t>
  </si>
  <si>
    <t>08:58</t>
  </si>
  <si>
    <t>10:24</t>
  </si>
  <si>
    <t>22:13</t>
  </si>
  <si>
    <t>10:08</t>
  </si>
  <si>
    <t>22:06</t>
  </si>
  <si>
    <t>09:10</t>
  </si>
  <si>
    <t>09:22</t>
  </si>
  <si>
    <t>09:20</t>
  </si>
  <si>
    <t>07:49</t>
  </si>
  <si>
    <t>09:56</t>
  </si>
  <si>
    <t>22:19</t>
  </si>
  <si>
    <t>09:08</t>
  </si>
  <si>
    <t>13:00</t>
  </si>
  <si>
    <t>Apr-06 to Apr-13,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</si>
</sst>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28" zoomScale="130" zoomScaleNormal="100" zoomScaleSheetLayoutView="130" workbookViewId="0">
      <selection activeCell="A42" sqref="A42:B42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3" t="s">
        <v>40</v>
      </c>
      <c r="B1" s="33"/>
      <c r="D1" s="33" t="s">
        <v>40</v>
      </c>
      <c r="E1" s="33"/>
    </row>
    <row r="2" spans="1:5">
      <c r="A2" s="18" t="str">
        <f>Kent!A24</f>
        <v>Name:</v>
      </c>
      <c r="B2" s="18" t="str">
        <f>Kent!B24</f>
        <v>Kent</v>
      </c>
      <c r="C2" s="7"/>
      <c r="D2" s="18" t="str">
        <f>'Jay Anne'!A24</f>
        <v>Name:</v>
      </c>
      <c r="E2" s="18" t="str">
        <f>'Jay Anne'!B24</f>
        <v>Jay Anne</v>
      </c>
    </row>
    <row r="3" spans="1:5">
      <c r="A3" s="18" t="str">
        <f>Kent!A25</f>
        <v>Job Title:</v>
      </c>
      <c r="B3" s="18" t="str">
        <f>Kent!B25</f>
        <v>Cook</v>
      </c>
      <c r="C3" s="7"/>
      <c r="D3" s="18" t="str">
        <f>'Jay Anne'!A25</f>
        <v>Job Title:</v>
      </c>
      <c r="E3" s="18" t="str">
        <f>'Jay Anne'!B25</f>
        <v>Cashier</v>
      </c>
    </row>
    <row r="4" spans="1:5">
      <c r="A4" s="18" t="str">
        <f>Kent!A26</f>
        <v>Payment Date:</v>
      </c>
      <c r="B4" s="19">
        <f>Kent!B26</f>
        <v>46125</v>
      </c>
      <c r="C4" s="7"/>
      <c r="D4" s="18" t="str">
        <f>'Jay Anne'!A26</f>
        <v>Payment Date:</v>
      </c>
      <c r="E4" s="19">
        <f>'Jay Anne'!B26</f>
        <v>46125</v>
      </c>
    </row>
    <row r="5" spans="1:5">
      <c r="A5" s="18" t="str">
        <f>Kent!A27</f>
        <v>Cut Off Period:</v>
      </c>
      <c r="B5" s="18" t="str">
        <f>Kent!B27</f>
        <v>Apr-06 to Apr-13, 2026</v>
      </c>
      <c r="C5" s="7"/>
      <c r="D5" s="18" t="str">
        <f>'Jay Anne'!A27</f>
        <v>Cut Off Period:</v>
      </c>
      <c r="E5" s="18" t="str">
        <f>'Jay Anne'!B27</f>
        <v>Apr-06 to Apr-13, 2026</v>
      </c>
    </row>
    <row r="6" spans="1:5">
      <c r="A6" s="18" t="str">
        <f>Kent!A28</f>
        <v>Days Worked</v>
      </c>
      <c r="B6" s="18">
        <f>Kent!B28</f>
        <v>4</v>
      </c>
      <c r="C6" s="7"/>
      <c r="D6" s="18" t="str">
        <f>'Jay Anne'!A28</f>
        <v>Days Worked</v>
      </c>
      <c r="E6" s="18">
        <f>'Jay Anne'!B28</f>
        <v>5</v>
      </c>
    </row>
    <row r="7" spans="1:5">
      <c r="A7" s="20" t="str">
        <f>Kent!A29</f>
        <v>Adjustments</v>
      </c>
      <c r="B7" s="18"/>
      <c r="C7" s="7"/>
      <c r="D7" s="20" t="str">
        <f>'Jay Anne'!A29</f>
        <v>Adjustments</v>
      </c>
      <c r="E7" s="18"/>
    </row>
    <row r="8" spans="1:5">
      <c r="A8" s="18" t="str">
        <f>Kent!A30</f>
        <v>Basic Pay</v>
      </c>
      <c r="B8" s="14">
        <f>Kent!B30</f>
        <v>1143.3446666666666</v>
      </c>
      <c r="C8" s="7"/>
      <c r="D8" s="18" t="str">
        <f>'Jay Anne'!A30</f>
        <v>Basic Pay</v>
      </c>
      <c r="E8" s="14">
        <f>'Jay Anne'!B30</f>
        <v>1499.85</v>
      </c>
    </row>
    <row r="9" spans="1:5">
      <c r="A9" s="18" t="str">
        <f>Kent!A31</f>
        <v>Bonus/Incentives</v>
      </c>
      <c r="B9" s="14">
        <f>Kent!B31</f>
        <v>0</v>
      </c>
      <c r="C9" s="7"/>
      <c r="D9" s="18" t="str">
        <f>'Jay Anne'!A31</f>
        <v>Bonus/Incentives</v>
      </c>
      <c r="E9" s="14">
        <f>'Jay Anne'!B31</f>
        <v>0</v>
      </c>
    </row>
    <row r="10" spans="1:5">
      <c r="A10" s="18" t="str">
        <f>Kent!A32</f>
        <v>Overtime Pay</v>
      </c>
      <c r="B10" s="14">
        <f>Kent!B32</f>
        <v>423.77400000000011</v>
      </c>
      <c r="C10" s="7"/>
      <c r="D10" s="18" t="str">
        <f>'Jay Anne'!A32</f>
        <v>Overtime Pay</v>
      </c>
      <c r="E10" s="14">
        <f>'Jay Anne'!B32</f>
        <v>299.96999999999997</v>
      </c>
    </row>
    <row r="11" spans="1:5">
      <c r="A11" s="18" t="str">
        <f>Kent!A33</f>
        <v>Other Income</v>
      </c>
      <c r="B11" s="14">
        <f>Kent!B33</f>
        <v>0</v>
      </c>
      <c r="C11" s="7"/>
      <c r="D11" s="18" t="str">
        <f>'Jay Anne'!A33</f>
        <v>Other Income</v>
      </c>
      <c r="E11" s="14">
        <f>'Jay Anne'!B33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21" t="str">
        <f>Kent!A36</f>
        <v>Gross Pay</v>
      </c>
      <c r="B14" s="14">
        <f>Kent!B36</f>
        <v>1567.1186666666667</v>
      </c>
      <c r="C14" s="7"/>
      <c r="D14" s="21" t="str">
        <f>'Jay Anne'!A36</f>
        <v>Gross Pay</v>
      </c>
      <c r="E14" s="14">
        <f>'Jay Anne'!B36</f>
        <v>1799.8199999999997</v>
      </c>
    </row>
    <row r="15" spans="1:5">
      <c r="A15" s="18" t="str">
        <f>Kent!A37</f>
        <v>Deductions</v>
      </c>
      <c r="B15" s="14">
        <f>Kent!B37</f>
        <v>0</v>
      </c>
      <c r="C15" s="7"/>
      <c r="D15" s="18" t="str">
        <f>'Jay Anne'!A37</f>
        <v>Deductions</v>
      </c>
      <c r="E15" s="14">
        <f>'Jay Anne'!B37</f>
        <v>0</v>
      </c>
    </row>
    <row r="16" spans="1:5">
      <c r="A16" s="18" t="str">
        <f>Kent!A38</f>
        <v>WH Tax</v>
      </c>
      <c r="B16" s="14">
        <f>Kent!B38</f>
        <v>0</v>
      </c>
      <c r="C16" s="7"/>
      <c r="D16" s="18" t="str">
        <f>'Jay Anne'!A38</f>
        <v>WH Tax</v>
      </c>
      <c r="E16" s="14">
        <f>'Jay Anne'!B38</f>
        <v>0</v>
      </c>
    </row>
    <row r="17" spans="1:5">
      <c r="A17" s="18"/>
      <c r="B17" s="14"/>
      <c r="C17" s="7"/>
      <c r="D17" s="18"/>
      <c r="E17" s="14"/>
    </row>
    <row r="18" spans="1:5">
      <c r="A18" s="20" t="str">
        <f>Kent!A40</f>
        <v>Net Pay</v>
      </c>
      <c r="B18" s="14">
        <f>Kent!B40</f>
        <v>1567.1186666666667</v>
      </c>
      <c r="C18" s="7"/>
      <c r="D18" s="20" t="str">
        <f>'Jay Anne'!A40</f>
        <v>Net Pay</v>
      </c>
      <c r="E18" s="14">
        <f>'Jay Anne'!B40</f>
        <v>1799.8199999999997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3" t="s">
        <v>40</v>
      </c>
      <c r="B21" s="33"/>
      <c r="D21" s="33" t="s">
        <v>40</v>
      </c>
      <c r="E21" s="33"/>
    </row>
    <row r="22" spans="1:5">
      <c r="A22" s="18" t="str">
        <f>Kris!A24</f>
        <v>Name:</v>
      </c>
      <c r="B22" s="18" t="str">
        <f>Kris!B24</f>
        <v>Kris Naynayan</v>
      </c>
      <c r="C22" s="7"/>
      <c r="D22" s="18" t="str">
        <f>Ruela!A24</f>
        <v>Name:</v>
      </c>
      <c r="E22" s="18" t="str">
        <f>Ruela!B24</f>
        <v>Ruela</v>
      </c>
    </row>
    <row r="23" spans="1:5">
      <c r="A23" s="18" t="str">
        <f>Kris!A25</f>
        <v>Job Title:</v>
      </c>
      <c r="B23" s="18" t="str">
        <f>Kris!B25</f>
        <v>Staff</v>
      </c>
      <c r="C23" s="7"/>
      <c r="D23" s="18" t="str">
        <f>Ruela!A25</f>
        <v>Job Title:</v>
      </c>
      <c r="E23" s="18" t="str">
        <f>Ruela!B25</f>
        <v>Staff</v>
      </c>
    </row>
    <row r="24" spans="1:5">
      <c r="A24" s="18" t="str">
        <f>Kris!A26</f>
        <v>Payment Date:</v>
      </c>
      <c r="B24" s="19">
        <f>Kris!B26</f>
        <v>46125</v>
      </c>
      <c r="C24" s="7"/>
      <c r="D24" s="18" t="str">
        <f>Ruela!A26</f>
        <v>Payment Date:</v>
      </c>
      <c r="E24" s="19">
        <f>Ruela!B26</f>
        <v>46118</v>
      </c>
    </row>
    <row r="25" spans="1:5">
      <c r="A25" s="18" t="str">
        <f>Kris!A27</f>
        <v>Cut Off Period:</v>
      </c>
      <c r="B25" s="18" t="str">
        <f>Kris!B27</f>
        <v>Apr-06 to Apr-13, 2026</v>
      </c>
      <c r="C25" s="7"/>
      <c r="D25" s="18" t="str">
        <f>Ruela!A27</f>
        <v>Cut Off Period:</v>
      </c>
      <c r="E25" s="18" t="str">
        <f>Ruela!B27</f>
        <v>Apr-06 to Apr-13, 2026</v>
      </c>
    </row>
    <row r="26" spans="1:5">
      <c r="A26" s="18" t="str">
        <f>Kris!A28</f>
        <v>Days Worked</v>
      </c>
      <c r="B26" s="18">
        <f>Kris!B28</f>
        <v>5</v>
      </c>
      <c r="C26" s="7"/>
      <c r="D26" s="18" t="str">
        <f>Ruela!A28</f>
        <v>Days Worked</v>
      </c>
      <c r="E26" s="18">
        <f>Ruela!B28</f>
        <v>3</v>
      </c>
    </row>
    <row r="27" spans="1:5">
      <c r="A27" s="20" t="str">
        <f>Kris!A29</f>
        <v>Adjustments</v>
      </c>
      <c r="B27" s="18"/>
      <c r="C27" s="7"/>
      <c r="D27" s="18" t="str">
        <f>Ruela!A29</f>
        <v>Adjustments</v>
      </c>
      <c r="E27" s="18"/>
    </row>
    <row r="28" spans="1:5">
      <c r="A28" s="18" t="str">
        <f>Kris!A30</f>
        <v>Basic Pay</v>
      </c>
      <c r="B28" s="14">
        <f>Kris!B30</f>
        <v>1561.7599999999998</v>
      </c>
      <c r="C28" s="7"/>
      <c r="D28" s="18" t="str">
        <f>Ruela!A30</f>
        <v>Basic Pay</v>
      </c>
      <c r="E28" s="14">
        <f>Ruela!B30</f>
        <v>708.24</v>
      </c>
    </row>
    <row r="29" spans="1:5">
      <c r="A29" s="18" t="str">
        <f>Kris!A31</f>
        <v>Bonus/Incentives</v>
      </c>
      <c r="B29" s="14">
        <f>Kris!B31</f>
        <v>0</v>
      </c>
      <c r="C29" s="7"/>
      <c r="D29" s="18" t="str">
        <f>Ruela!A31</f>
        <v>Bonus/Incentives</v>
      </c>
      <c r="E29" s="14">
        <f>Ruela!B31</f>
        <v>0</v>
      </c>
    </row>
    <row r="30" spans="1:5">
      <c r="A30" s="18" t="str">
        <f>Kris!A32</f>
        <v>Overtime Pay</v>
      </c>
      <c r="B30" s="14">
        <f>Kris!B32</f>
        <v>283.29599999999982</v>
      </c>
      <c r="C30" s="7"/>
      <c r="D30" s="18" t="str">
        <f>Ruela!A32</f>
        <v>Overtime Pay</v>
      </c>
      <c r="E30" s="14">
        <f>Ruela!B32</f>
        <v>152.54400000000001</v>
      </c>
    </row>
    <row r="31" spans="1:5">
      <c r="A31" s="18" t="str">
        <f>Kris!A33</f>
        <v>Other Income</v>
      </c>
      <c r="B31" s="14">
        <f>Kris!B33</f>
        <v>0</v>
      </c>
      <c r="C31" s="7"/>
      <c r="D31" s="18" t="str">
        <f>Ruela!A33</f>
        <v>Other Income</v>
      </c>
      <c r="E31" s="14">
        <f>Ruela!B33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Kris!A36</f>
        <v>Gross Pay</v>
      </c>
      <c r="B34" s="14">
        <f>Kris!B36</f>
        <v>1845.0559999999996</v>
      </c>
      <c r="C34" s="7"/>
      <c r="D34" s="21" t="str">
        <f>Ruela!A36</f>
        <v>Gross Pay</v>
      </c>
      <c r="E34" s="14">
        <f>Ruela!B36</f>
        <v>860.78399999999999</v>
      </c>
    </row>
    <row r="35" spans="1:5">
      <c r="A35" s="18" t="str">
        <f>Kris!A37</f>
        <v>Deductions</v>
      </c>
      <c r="B35" s="14">
        <f>Kris!B37</f>
        <v>0</v>
      </c>
      <c r="C35" s="7"/>
      <c r="D35" s="18" t="str">
        <f>Ruela!A37</f>
        <v>Deductions</v>
      </c>
      <c r="E35" s="14">
        <f>Ruela!B37</f>
        <v>0</v>
      </c>
    </row>
    <row r="36" spans="1:5">
      <c r="A36" s="18" t="str">
        <f>Kris!A38</f>
        <v>WH Tax</v>
      </c>
      <c r="B36" s="14">
        <f>Kris!B38</f>
        <v>0</v>
      </c>
      <c r="C36" s="7"/>
      <c r="D36" s="18" t="str">
        <f>Ruela!A38</f>
        <v>WH Tax</v>
      </c>
      <c r="E36" s="14">
        <f>Ruela!B38</f>
        <v>0</v>
      </c>
    </row>
    <row r="37" spans="1:5">
      <c r="A37" s="18"/>
      <c r="B37" s="14"/>
      <c r="C37" s="7"/>
      <c r="D37" s="18"/>
      <c r="E37" s="14"/>
    </row>
    <row r="38" spans="1:5">
      <c r="A38" s="20" t="str">
        <f>Kris!A40</f>
        <v>Net Pay</v>
      </c>
      <c r="B38" s="14">
        <f>Kris!B40</f>
        <v>1845.0559999999996</v>
      </c>
      <c r="C38" s="7"/>
      <c r="D38" s="20" t="str">
        <f>Ruela!A40</f>
        <v>Net Pay</v>
      </c>
      <c r="E38" s="14">
        <f>Ruela!B40</f>
        <v>860.78399999999999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3" t="s">
        <v>40</v>
      </c>
      <c r="B42" s="33"/>
      <c r="D42" s="33" t="s">
        <v>40</v>
      </c>
      <c r="E42" s="33"/>
    </row>
    <row r="43" spans="1:5">
      <c r="A43" s="18" t="str">
        <f>Cherry!A24</f>
        <v>Name:</v>
      </c>
      <c r="B43" s="18" t="str">
        <f>Cherry!B24</f>
        <v>Cherry</v>
      </c>
      <c r="C43" s="7"/>
      <c r="D43" s="18" t="str">
        <f>Aldrin!A24</f>
        <v>Name:</v>
      </c>
      <c r="E43" s="18" t="str">
        <f>Aldrin!B24</f>
        <v>Aldrin</v>
      </c>
    </row>
    <row r="44" spans="1:5">
      <c r="A44" s="18" t="str">
        <f>Cherry!A25</f>
        <v>Job Title:</v>
      </c>
      <c r="B44" s="18" t="str">
        <f>Cherry!B25</f>
        <v>Staff</v>
      </c>
      <c r="C44" s="7"/>
      <c r="D44" s="18" t="str">
        <f>Aldrin!A25</f>
        <v>Job Title:</v>
      </c>
      <c r="E44" s="18" t="str">
        <f>Aldrin!B25</f>
        <v>Staff</v>
      </c>
    </row>
    <row r="45" spans="1:5">
      <c r="A45" s="18" t="str">
        <f>Cherry!A26</f>
        <v>Payment Date:</v>
      </c>
      <c r="B45" s="19">
        <f>Cherry!B26</f>
        <v>46125</v>
      </c>
      <c r="C45" s="7"/>
      <c r="D45" s="18" t="str">
        <f>Aldrin!A26</f>
        <v>Payment Date:</v>
      </c>
      <c r="E45" s="19">
        <f>Aldrin!B26</f>
        <v>46125</v>
      </c>
    </row>
    <row r="46" spans="1:5">
      <c r="A46" s="18" t="str">
        <f>Cherry!A27</f>
        <v>Cut Off Period:</v>
      </c>
      <c r="B46" s="18" t="str">
        <f>Cherry!B27</f>
        <v>Apr-06 to Apr-13, 2026</v>
      </c>
      <c r="C46" s="7"/>
      <c r="D46" s="18" t="str">
        <f>Aldrin!A27</f>
        <v>Cut Off Period:</v>
      </c>
      <c r="E46" s="18" t="str">
        <f>Aldrin!B27</f>
        <v>Apr-06 to Apr-13, 2026</v>
      </c>
    </row>
    <row r="47" spans="1:5">
      <c r="A47" s="18" t="str">
        <f>Cherry!A28</f>
        <v>Days Worked</v>
      </c>
      <c r="B47" s="18">
        <f>Cherry!B28</f>
        <v>5</v>
      </c>
      <c r="C47" s="7"/>
      <c r="D47" s="18" t="str">
        <f>Aldrin!A28</f>
        <v>Days Worked</v>
      </c>
      <c r="E47" s="18">
        <f>Aldrin!B28</f>
        <v>4</v>
      </c>
    </row>
    <row r="48" spans="1:5">
      <c r="A48" s="20" t="str">
        <f>Cherry!A29</f>
        <v>Adjustments</v>
      </c>
      <c r="B48" s="18"/>
      <c r="C48" s="7"/>
      <c r="D48" s="20" t="str">
        <f>Aldrin!A29</f>
        <v>Adjustments</v>
      </c>
      <c r="E48" s="18"/>
    </row>
    <row r="49" spans="1:5">
      <c r="A49" s="18" t="str">
        <f>Cherry!A30</f>
        <v>Basic Pay</v>
      </c>
      <c r="B49" s="14">
        <f>Cherry!B30</f>
        <v>1682.55</v>
      </c>
      <c r="C49" s="7"/>
      <c r="D49" s="18" t="str">
        <f>Aldrin!A30</f>
        <v>Basic Pay</v>
      </c>
      <c r="E49" s="14">
        <f>Aldrin!B30</f>
        <v>888.64</v>
      </c>
    </row>
    <row r="50" spans="1:5">
      <c r="A50" s="18" t="str">
        <f>Cherry!A31</f>
        <v>Bonus/Incentives</v>
      </c>
      <c r="B50" s="14">
        <f>Cherry!B31</f>
        <v>0</v>
      </c>
      <c r="C50" s="7"/>
      <c r="D50" s="18" t="str">
        <f>Aldrin!A31</f>
        <v>Bonus/Incentives</v>
      </c>
      <c r="E50" s="14">
        <f>Aldrin!B31</f>
        <v>0</v>
      </c>
    </row>
    <row r="51" spans="1:5">
      <c r="A51" s="18" t="str">
        <f>Cherry!A32</f>
        <v>Overtime Pay</v>
      </c>
      <c r="B51" s="14">
        <f>Cherry!B32</f>
        <v>605.71799999999996</v>
      </c>
      <c r="C51" s="7"/>
      <c r="D51" s="18" t="str">
        <f>Aldrin!A32</f>
        <v>Overtime Pay</v>
      </c>
      <c r="E51" s="14">
        <f>Aldrin!B32</f>
        <v>271.03520000000015</v>
      </c>
    </row>
    <row r="52" spans="1:5">
      <c r="A52" s="18" t="str">
        <f>Cherry!A33</f>
        <v>Other Income</v>
      </c>
      <c r="B52" s="14">
        <f>Cherry!B33</f>
        <v>0</v>
      </c>
      <c r="C52" s="7"/>
      <c r="D52" s="18" t="str">
        <f>Aldrin!A33</f>
        <v>Other Income</v>
      </c>
      <c r="E52" s="14">
        <f>Aldrin!B33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Cherry!A36</f>
        <v>Gross Pay</v>
      </c>
      <c r="B55" s="14">
        <f>Cherry!B36</f>
        <v>2288.2679999999996</v>
      </c>
      <c r="C55" s="7"/>
      <c r="D55" s="18" t="str">
        <f>Aldrin!A36</f>
        <v>Gross Pay</v>
      </c>
      <c r="E55" s="14">
        <f>Aldrin!B36</f>
        <v>1159.6752000000001</v>
      </c>
    </row>
    <row r="56" spans="1:5">
      <c r="A56" s="18" t="str">
        <f>Cherry!A37</f>
        <v>Deductions</v>
      </c>
      <c r="B56" s="14">
        <f>Cherry!B37</f>
        <v>0</v>
      </c>
      <c r="C56" s="7"/>
      <c r="D56" s="18" t="str">
        <f>Aldrin!A37</f>
        <v>Deductions</v>
      </c>
      <c r="E56" s="14">
        <f>Aldrin!B37</f>
        <v>0</v>
      </c>
    </row>
    <row r="57" spans="1:5">
      <c r="A57" s="18" t="str">
        <f>Cherry!A38</f>
        <v>WH Tax</v>
      </c>
      <c r="B57" s="14">
        <f>Cherry!B38</f>
        <v>0</v>
      </c>
      <c r="C57" s="7"/>
      <c r="D57" s="18" t="str">
        <f>Aldrin!A38</f>
        <v>WH Tax</v>
      </c>
      <c r="E57" s="14">
        <f>Aldrin!B38</f>
        <v>0</v>
      </c>
    </row>
    <row r="58" spans="1:5">
      <c r="A58" s="18"/>
      <c r="B58" s="14"/>
      <c r="C58" s="7"/>
      <c r="D58" s="18"/>
      <c r="E58" s="14"/>
    </row>
    <row r="59" spans="1:5">
      <c r="A59" s="20" t="str">
        <f>Cherry!A40</f>
        <v>Net Pay</v>
      </c>
      <c r="B59" s="14">
        <f>Cherry!B40</f>
        <v>2288.2679999999996</v>
      </c>
      <c r="C59" s="7"/>
      <c r="D59" s="20" t="str">
        <f>Aldrin!A40</f>
        <v>Net Pay</v>
      </c>
      <c r="E59" s="14">
        <f>Aldrin!B40</f>
        <v>1159.6752000000001</v>
      </c>
    </row>
    <row r="60" spans="1:5">
      <c r="A60" s="7"/>
      <c r="B60" s="7"/>
      <c r="C60" s="7"/>
      <c r="D60" s="7"/>
      <c r="E60" s="7"/>
    </row>
    <row r="62" spans="1:5" ht="17.399999999999999">
      <c r="A62" s="33" t="s">
        <v>40</v>
      </c>
      <c r="B62" s="33"/>
      <c r="D62" s="33" t="s">
        <v>40</v>
      </c>
      <c r="E62" s="33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Chardiya!B24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Chardiya!B25</f>
        <v>Staff</v>
      </c>
    </row>
    <row r="65" spans="1:5">
      <c r="A65" s="10" t="str">
        <f>Mark!A26</f>
        <v>Payment Date:</v>
      </c>
      <c r="B65" s="19">
        <f>Mark!B26</f>
        <v>46125</v>
      </c>
      <c r="D65" s="10" t="str">
        <f>Chardiya!A26</f>
        <v>Payment Date:</v>
      </c>
      <c r="E65" s="19">
        <f>Chardiya!B26</f>
        <v>46083</v>
      </c>
    </row>
    <row r="66" spans="1:5">
      <c r="A66" s="10" t="str">
        <f>Mark!A27</f>
        <v>Cut Off Period:</v>
      </c>
      <c r="B66" s="10" t="str">
        <f>Mark!B27</f>
        <v>Apr-06 to Apr-13, 2026</v>
      </c>
      <c r="D66" s="10" t="str">
        <f>Chardiya!A27</f>
        <v>Cut Off Period:</v>
      </c>
      <c r="E66" s="10" t="str">
        <f>Chardiya!B27</f>
        <v>Apr-06 to Apr-13, 2026</v>
      </c>
    </row>
    <row r="67" spans="1:5">
      <c r="A67" s="10" t="str">
        <f>Mark!A28</f>
        <v>Days Worked</v>
      </c>
      <c r="B67" s="10">
        <f>Mark!B28</f>
        <v>3</v>
      </c>
      <c r="D67" s="10" t="str">
        <f>Chardiya!A28</f>
        <v>Days Worked</v>
      </c>
      <c r="E67" s="10">
        <f>Chardiya!B28</f>
        <v>4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810</v>
      </c>
      <c r="D69" s="10" t="str">
        <f>Chardiya!A30</f>
        <v>Basic Pay</v>
      </c>
      <c r="E69" s="14">
        <f>Chardiya!B30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Chardiya!B31</f>
        <v>0</v>
      </c>
    </row>
    <row r="71" spans="1:5">
      <c r="A71" s="10" t="str">
        <f>Mark!A32</f>
        <v>Overtime Pay</v>
      </c>
      <c r="B71" s="14">
        <f>Mark!B32</f>
        <v>272.40000000000003</v>
      </c>
      <c r="D71" s="10" t="str">
        <f>Chardiya!A32</f>
        <v>Overtime Pay</v>
      </c>
      <c r="E71" s="14">
        <f>Chardiya!B32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Chardiya!B33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1082.4000000000001</v>
      </c>
      <c r="D75" s="10" t="str">
        <f>Chardiya!A36</f>
        <v>Gross Pay</v>
      </c>
      <c r="E75" s="14">
        <f>Chardiya!B36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Chardiya!B37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Chardiya!B38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1082.4000000000001</v>
      </c>
      <c r="D79" s="13" t="str">
        <f>Chardiya!A40</f>
        <v>Net Pay</v>
      </c>
      <c r="E79" s="14">
        <f>Chardiya!B40</f>
        <v>1305.6759999999999</v>
      </c>
    </row>
    <row r="82" spans="1:5" ht="17.399999999999999">
      <c r="A82" s="33" t="s">
        <v>40</v>
      </c>
      <c r="B82" s="33"/>
      <c r="D82" s="33" t="s">
        <v>40</v>
      </c>
      <c r="E82" s="33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46069</v>
      </c>
    </row>
    <row r="86" spans="1:5">
      <c r="A86" s="10" t="str">
        <f>Lenard!A27</f>
        <v>Cut Off Period:</v>
      </c>
      <c r="B86" s="10" t="str">
        <f>Lenard!B27</f>
        <v>Apr-06 to Apr-13, 2026</v>
      </c>
      <c r="D86" s="10" t="str">
        <f>David!A27</f>
        <v>Cut Off Period:</v>
      </c>
      <c r="E86" s="10" t="str">
        <f>David!B27</f>
        <v>Apr-06 to Apr-13,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77"/>
  <sheetViews>
    <sheetView topLeftCell="A28" workbookViewId="0">
      <selection activeCell="B57" sqref="B57:E64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2" t="s">
        <v>109</v>
      </c>
      <c r="B1" s="32" t="s">
        <v>79</v>
      </c>
      <c r="C1" s="30" t="s">
        <v>124</v>
      </c>
      <c r="D1" s="30" t="s">
        <v>125</v>
      </c>
      <c r="E1" s="31" t="s">
        <v>126</v>
      </c>
      <c r="F1" s="31"/>
      <c r="G1" s="31"/>
    </row>
    <row r="2" spans="1:7">
      <c r="A2" s="32" t="s">
        <v>109</v>
      </c>
      <c r="B2" s="32" t="s">
        <v>79</v>
      </c>
      <c r="C2" s="30" t="s">
        <v>127</v>
      </c>
      <c r="D2" s="30" t="s">
        <v>128</v>
      </c>
      <c r="E2" s="31" t="s">
        <v>129</v>
      </c>
      <c r="F2" s="31"/>
      <c r="G2" s="31"/>
    </row>
    <row r="3" spans="1:7">
      <c r="A3" s="32" t="s">
        <v>109</v>
      </c>
      <c r="B3" s="32" t="s">
        <v>79</v>
      </c>
      <c r="C3" s="30" t="s">
        <v>130</v>
      </c>
      <c r="D3" s="31" t="s">
        <v>81</v>
      </c>
      <c r="E3" s="31" t="s">
        <v>81</v>
      </c>
      <c r="F3" s="31"/>
      <c r="G3" s="31"/>
    </row>
    <row r="4" spans="1:7">
      <c r="A4" s="32" t="s">
        <v>109</v>
      </c>
      <c r="B4" s="32" t="s">
        <v>79</v>
      </c>
      <c r="C4" s="30" t="s">
        <v>131</v>
      </c>
      <c r="D4" s="30" t="s">
        <v>132</v>
      </c>
      <c r="E4" s="31" t="s">
        <v>133</v>
      </c>
      <c r="F4" s="31"/>
      <c r="G4" s="31"/>
    </row>
    <row r="5" spans="1:7">
      <c r="A5" s="32" t="s">
        <v>109</v>
      </c>
      <c r="B5" s="32" t="s">
        <v>79</v>
      </c>
      <c r="C5" s="30" t="s">
        <v>134</v>
      </c>
      <c r="D5" s="30" t="s">
        <v>135</v>
      </c>
      <c r="E5" s="31" t="s">
        <v>81</v>
      </c>
      <c r="F5" s="31"/>
      <c r="G5" s="31"/>
    </row>
    <row r="6" spans="1:7">
      <c r="A6" s="32" t="s">
        <v>109</v>
      </c>
      <c r="B6" s="32" t="s">
        <v>79</v>
      </c>
      <c r="C6" s="30" t="s">
        <v>136</v>
      </c>
      <c r="D6" s="31" t="s">
        <v>81</v>
      </c>
      <c r="E6" s="31" t="s">
        <v>81</v>
      </c>
      <c r="F6" s="31"/>
      <c r="G6" s="31"/>
    </row>
    <row r="7" spans="1:7">
      <c r="A7" s="32" t="s">
        <v>109</v>
      </c>
      <c r="B7" s="32" t="s">
        <v>79</v>
      </c>
      <c r="C7" s="30" t="s">
        <v>137</v>
      </c>
      <c r="D7" s="31" t="s">
        <v>81</v>
      </c>
      <c r="E7" s="31" t="s">
        <v>81</v>
      </c>
      <c r="F7" s="31"/>
      <c r="G7" s="31"/>
    </row>
    <row r="8" spans="1:7">
      <c r="A8" s="32" t="s">
        <v>109</v>
      </c>
      <c r="B8" s="32" t="s">
        <v>79</v>
      </c>
      <c r="C8" s="30" t="s">
        <v>138</v>
      </c>
      <c r="D8" s="31" t="s">
        <v>81</v>
      </c>
      <c r="E8" s="31" t="s">
        <v>81</v>
      </c>
      <c r="F8" s="31"/>
      <c r="G8" s="31"/>
    </row>
    <row r="9" spans="1:7">
      <c r="A9" s="32" t="s">
        <v>90</v>
      </c>
      <c r="B9" s="32" t="s">
        <v>79</v>
      </c>
      <c r="C9" s="30" t="s">
        <v>124</v>
      </c>
      <c r="D9" s="31" t="s">
        <v>108</v>
      </c>
      <c r="E9" s="31" t="s">
        <v>139</v>
      </c>
      <c r="F9" s="31"/>
      <c r="G9" s="31"/>
    </row>
    <row r="10" spans="1:7">
      <c r="A10" s="32" t="s">
        <v>90</v>
      </c>
      <c r="B10" s="32" t="s">
        <v>79</v>
      </c>
      <c r="C10" s="30" t="s">
        <v>127</v>
      </c>
      <c r="D10" s="31" t="s">
        <v>81</v>
      </c>
      <c r="E10" s="31" t="s">
        <v>81</v>
      </c>
      <c r="F10" s="31"/>
      <c r="G10" s="31"/>
    </row>
    <row r="11" spans="1:7">
      <c r="A11" s="32" t="s">
        <v>90</v>
      </c>
      <c r="B11" s="32" t="s">
        <v>79</v>
      </c>
      <c r="C11" s="30" t="s">
        <v>130</v>
      </c>
      <c r="D11" s="31" t="s">
        <v>140</v>
      </c>
      <c r="E11" s="31" t="s">
        <v>141</v>
      </c>
      <c r="F11" s="31"/>
      <c r="G11" s="31"/>
    </row>
    <row r="12" spans="1:7">
      <c r="A12" s="32" t="s">
        <v>90</v>
      </c>
      <c r="B12" s="32" t="s">
        <v>79</v>
      </c>
      <c r="C12" s="30" t="s">
        <v>131</v>
      </c>
      <c r="D12" s="31" t="s">
        <v>142</v>
      </c>
      <c r="E12" s="31" t="s">
        <v>129</v>
      </c>
      <c r="F12" s="31"/>
      <c r="G12" s="31"/>
    </row>
    <row r="13" spans="1:7">
      <c r="A13" s="32" t="s">
        <v>90</v>
      </c>
      <c r="B13" s="32" t="s">
        <v>79</v>
      </c>
      <c r="C13" s="30" t="s">
        <v>134</v>
      </c>
      <c r="D13" s="31" t="s">
        <v>143</v>
      </c>
      <c r="E13" s="31" t="s">
        <v>129</v>
      </c>
      <c r="F13" s="31"/>
      <c r="G13" s="31"/>
    </row>
    <row r="14" spans="1:7">
      <c r="A14" s="32" t="s">
        <v>90</v>
      </c>
      <c r="B14" s="32" t="s">
        <v>79</v>
      </c>
      <c r="C14" s="30" t="s">
        <v>136</v>
      </c>
      <c r="D14" s="31" t="s">
        <v>81</v>
      </c>
      <c r="E14" s="31" t="s">
        <v>81</v>
      </c>
      <c r="F14" s="31"/>
      <c r="G14" s="31"/>
    </row>
    <row r="15" spans="1:7">
      <c r="A15" s="32" t="s">
        <v>90</v>
      </c>
      <c r="B15" s="32" t="s">
        <v>79</v>
      </c>
      <c r="C15" s="30" t="s">
        <v>137</v>
      </c>
      <c r="D15" s="31" t="s">
        <v>81</v>
      </c>
      <c r="E15" s="31" t="s">
        <v>81</v>
      </c>
      <c r="F15" s="31"/>
      <c r="G15" s="31"/>
    </row>
    <row r="16" spans="1:7">
      <c r="A16" s="32" t="s">
        <v>90</v>
      </c>
      <c r="B16" s="32" t="s">
        <v>79</v>
      </c>
      <c r="C16" s="30" t="s">
        <v>138</v>
      </c>
      <c r="D16" s="31" t="s">
        <v>144</v>
      </c>
      <c r="E16" s="31" t="s">
        <v>81</v>
      </c>
      <c r="F16" s="31"/>
      <c r="G16" s="31"/>
    </row>
    <row r="17" spans="1:7">
      <c r="A17" s="32" t="s">
        <v>91</v>
      </c>
      <c r="B17" s="32" t="s">
        <v>79</v>
      </c>
      <c r="C17" s="30" t="s">
        <v>124</v>
      </c>
      <c r="D17" s="31" t="s">
        <v>81</v>
      </c>
      <c r="E17" s="31" t="s">
        <v>81</v>
      </c>
      <c r="F17" s="31"/>
      <c r="G17" s="31"/>
    </row>
    <row r="18" spans="1:7">
      <c r="A18" s="32" t="s">
        <v>91</v>
      </c>
      <c r="B18" s="32" t="s">
        <v>79</v>
      </c>
      <c r="C18" s="30" t="s">
        <v>127</v>
      </c>
      <c r="D18" s="31" t="s">
        <v>81</v>
      </c>
      <c r="E18" s="31" t="s">
        <v>81</v>
      </c>
      <c r="F18" s="31"/>
      <c r="G18" s="31"/>
    </row>
    <row r="19" spans="1:7">
      <c r="A19" s="32" t="s">
        <v>91</v>
      </c>
      <c r="B19" s="32" t="s">
        <v>79</v>
      </c>
      <c r="C19" s="30" t="s">
        <v>130</v>
      </c>
      <c r="D19" s="31" t="s">
        <v>81</v>
      </c>
      <c r="E19" s="31" t="s">
        <v>81</v>
      </c>
      <c r="F19" s="31"/>
      <c r="G19" s="31"/>
    </row>
    <row r="20" spans="1:7">
      <c r="A20" s="32" t="s">
        <v>91</v>
      </c>
      <c r="B20" s="32" t="s">
        <v>79</v>
      </c>
      <c r="C20" s="30" t="s">
        <v>131</v>
      </c>
      <c r="D20" s="31" t="s">
        <v>145</v>
      </c>
      <c r="E20" s="31" t="s">
        <v>146</v>
      </c>
      <c r="F20" s="31"/>
      <c r="G20" s="31"/>
    </row>
    <row r="21" spans="1:7">
      <c r="A21" s="32" t="s">
        <v>91</v>
      </c>
      <c r="B21" s="32" t="s">
        <v>79</v>
      </c>
      <c r="C21" s="30" t="s">
        <v>134</v>
      </c>
      <c r="D21" s="31" t="s">
        <v>81</v>
      </c>
      <c r="E21" s="31" t="s">
        <v>129</v>
      </c>
      <c r="F21" s="31"/>
      <c r="G21" s="31"/>
    </row>
    <row r="22" spans="1:7">
      <c r="A22" s="32" t="s">
        <v>91</v>
      </c>
      <c r="B22" s="32" t="s">
        <v>79</v>
      </c>
      <c r="C22" s="30" t="s">
        <v>136</v>
      </c>
      <c r="D22" s="31" t="s">
        <v>81</v>
      </c>
      <c r="E22" s="31" t="s">
        <v>81</v>
      </c>
      <c r="F22" s="31"/>
      <c r="G22" s="31"/>
    </row>
    <row r="23" spans="1:7">
      <c r="A23" s="32" t="s">
        <v>91</v>
      </c>
      <c r="B23" s="32" t="s">
        <v>79</v>
      </c>
      <c r="C23" s="30" t="s">
        <v>137</v>
      </c>
      <c r="D23" s="31" t="s">
        <v>81</v>
      </c>
      <c r="E23" s="31" t="s">
        <v>81</v>
      </c>
      <c r="F23" s="31"/>
      <c r="G23" s="31"/>
    </row>
    <row r="24" spans="1:7">
      <c r="A24" s="32" t="s">
        <v>91</v>
      </c>
      <c r="B24" s="32" t="s">
        <v>79</v>
      </c>
      <c r="C24" s="30" t="s">
        <v>138</v>
      </c>
      <c r="D24" s="31" t="s">
        <v>144</v>
      </c>
      <c r="E24" s="31" t="s">
        <v>81</v>
      </c>
      <c r="F24" s="31"/>
      <c r="G24" s="31"/>
    </row>
    <row r="25" spans="1:7">
      <c r="A25" s="32" t="s">
        <v>92</v>
      </c>
      <c r="B25" s="32" t="s">
        <v>79</v>
      </c>
      <c r="C25" s="30" t="s">
        <v>124</v>
      </c>
      <c r="D25" s="31" t="s">
        <v>87</v>
      </c>
      <c r="E25" s="31" t="s">
        <v>121</v>
      </c>
      <c r="F25" s="31"/>
      <c r="G25" s="31"/>
    </row>
    <row r="26" spans="1:7">
      <c r="A26" s="32" t="s">
        <v>92</v>
      </c>
      <c r="B26" s="32" t="s">
        <v>79</v>
      </c>
      <c r="C26" s="30" t="s">
        <v>127</v>
      </c>
      <c r="D26" s="31" t="s">
        <v>147</v>
      </c>
      <c r="E26" s="31" t="s">
        <v>121</v>
      </c>
      <c r="F26" s="31"/>
      <c r="G26" s="31"/>
    </row>
    <row r="27" spans="1:7">
      <c r="A27" s="32" t="s">
        <v>92</v>
      </c>
      <c r="B27" s="32" t="s">
        <v>79</v>
      </c>
      <c r="C27" s="30" t="s">
        <v>130</v>
      </c>
      <c r="D27" s="30" t="s">
        <v>148</v>
      </c>
      <c r="E27" s="31" t="s">
        <v>149</v>
      </c>
      <c r="F27" s="31"/>
      <c r="G27" s="31"/>
    </row>
    <row r="28" spans="1:7">
      <c r="A28" s="32" t="s">
        <v>92</v>
      </c>
      <c r="B28" s="32" t="s">
        <v>79</v>
      </c>
      <c r="C28" s="30" t="s">
        <v>131</v>
      </c>
      <c r="D28" s="31" t="s">
        <v>81</v>
      </c>
      <c r="E28" s="31" t="s">
        <v>81</v>
      </c>
      <c r="F28" s="31"/>
      <c r="G28" s="31"/>
    </row>
    <row r="29" spans="1:7">
      <c r="A29" s="32" t="s">
        <v>92</v>
      </c>
      <c r="B29" s="32" t="s">
        <v>79</v>
      </c>
      <c r="C29" s="30" t="s">
        <v>134</v>
      </c>
      <c r="D29" s="31" t="s">
        <v>150</v>
      </c>
      <c r="E29" s="31" t="s">
        <v>120</v>
      </c>
      <c r="F29" s="31"/>
      <c r="G29" s="31"/>
    </row>
    <row r="30" spans="1:7">
      <c r="A30" s="32" t="s">
        <v>92</v>
      </c>
      <c r="B30" s="32" t="s">
        <v>79</v>
      </c>
      <c r="C30" s="30" t="s">
        <v>136</v>
      </c>
      <c r="D30" s="31" t="s">
        <v>81</v>
      </c>
      <c r="E30" s="31" t="s">
        <v>81</v>
      </c>
      <c r="F30" s="31"/>
      <c r="G30" s="31"/>
    </row>
    <row r="31" spans="1:7">
      <c r="A31" s="32" t="s">
        <v>92</v>
      </c>
      <c r="B31" s="32" t="s">
        <v>79</v>
      </c>
      <c r="C31" s="30" t="s">
        <v>137</v>
      </c>
      <c r="D31" s="31" t="s">
        <v>81</v>
      </c>
      <c r="E31" s="31" t="s">
        <v>81</v>
      </c>
      <c r="F31" s="31"/>
      <c r="G31" s="31"/>
    </row>
    <row r="32" spans="1:7">
      <c r="A32" s="32" t="s">
        <v>92</v>
      </c>
      <c r="B32" s="32" t="s">
        <v>79</v>
      </c>
      <c r="C32" s="30" t="s">
        <v>138</v>
      </c>
      <c r="D32" s="31" t="s">
        <v>151</v>
      </c>
      <c r="E32" s="31" t="s">
        <v>81</v>
      </c>
      <c r="F32" s="31"/>
      <c r="G32" s="31"/>
    </row>
    <row r="33" spans="1:7">
      <c r="A33" s="32" t="s">
        <v>105</v>
      </c>
      <c r="B33" s="32" t="s">
        <v>79</v>
      </c>
      <c r="C33" s="30" t="s">
        <v>124</v>
      </c>
      <c r="D33" s="31" t="s">
        <v>81</v>
      </c>
      <c r="E33" s="31" t="s">
        <v>81</v>
      </c>
      <c r="F33" s="31"/>
      <c r="G33" s="31"/>
    </row>
    <row r="34" spans="1:7">
      <c r="A34" s="32" t="s">
        <v>105</v>
      </c>
      <c r="B34" s="32" t="s">
        <v>79</v>
      </c>
      <c r="C34" s="30" t="s">
        <v>127</v>
      </c>
      <c r="D34" s="31" t="s">
        <v>81</v>
      </c>
      <c r="E34" s="31" t="s">
        <v>81</v>
      </c>
      <c r="F34" s="31"/>
      <c r="G34" s="31"/>
    </row>
    <row r="35" spans="1:7">
      <c r="A35" s="32" t="s">
        <v>105</v>
      </c>
      <c r="B35" s="32" t="s">
        <v>79</v>
      </c>
      <c r="C35" s="30" t="s">
        <v>130</v>
      </c>
      <c r="D35" s="31" t="s">
        <v>81</v>
      </c>
      <c r="E35" s="31" t="s">
        <v>81</v>
      </c>
      <c r="F35" s="31"/>
      <c r="G35" s="31"/>
    </row>
    <row r="36" spans="1:7">
      <c r="A36" s="32" t="s">
        <v>105</v>
      </c>
      <c r="B36" s="32" t="s">
        <v>79</v>
      </c>
      <c r="C36" s="30" t="s">
        <v>131</v>
      </c>
      <c r="D36" s="31" t="s">
        <v>81</v>
      </c>
      <c r="E36" s="31" t="s">
        <v>81</v>
      </c>
      <c r="F36" s="31"/>
      <c r="G36" s="31"/>
    </row>
    <row r="37" spans="1:7">
      <c r="A37" s="32" t="s">
        <v>105</v>
      </c>
      <c r="B37" s="32" t="s">
        <v>79</v>
      </c>
      <c r="C37" s="30" t="s">
        <v>134</v>
      </c>
      <c r="D37" s="31" t="s">
        <v>81</v>
      </c>
      <c r="E37" s="31" t="s">
        <v>81</v>
      </c>
      <c r="F37" s="31"/>
      <c r="G37" s="31"/>
    </row>
    <row r="38" spans="1:7">
      <c r="A38" s="32" t="s">
        <v>105</v>
      </c>
      <c r="B38" s="32" t="s">
        <v>79</v>
      </c>
      <c r="C38" s="30" t="s">
        <v>136</v>
      </c>
      <c r="D38" s="31" t="s">
        <v>81</v>
      </c>
      <c r="E38" s="31" t="s">
        <v>81</v>
      </c>
      <c r="F38" s="31"/>
      <c r="G38" s="31"/>
    </row>
    <row r="39" spans="1:7">
      <c r="A39" s="32" t="s">
        <v>105</v>
      </c>
      <c r="B39" s="32" t="s">
        <v>79</v>
      </c>
      <c r="C39" s="30" t="s">
        <v>137</v>
      </c>
      <c r="D39" s="31" t="s">
        <v>81</v>
      </c>
      <c r="E39" s="31" t="s">
        <v>81</v>
      </c>
      <c r="F39" s="31"/>
      <c r="G39" s="31"/>
    </row>
    <row r="40" spans="1:7">
      <c r="A40" s="32" t="s">
        <v>105</v>
      </c>
      <c r="B40" s="32" t="s">
        <v>79</v>
      </c>
      <c r="C40" s="30" t="s">
        <v>138</v>
      </c>
      <c r="D40" s="31" t="s">
        <v>81</v>
      </c>
      <c r="E40" s="31" t="s">
        <v>81</v>
      </c>
      <c r="F40" s="31"/>
      <c r="G40" s="31"/>
    </row>
    <row r="41" spans="1:7">
      <c r="A41" s="32" t="s">
        <v>93</v>
      </c>
      <c r="B41" s="32" t="s">
        <v>79</v>
      </c>
      <c r="C41" s="30" t="s">
        <v>124</v>
      </c>
      <c r="D41" s="31" t="s">
        <v>81</v>
      </c>
      <c r="E41" s="31" t="s">
        <v>81</v>
      </c>
      <c r="F41" s="31"/>
      <c r="G41" s="31"/>
    </row>
    <row r="42" spans="1:7">
      <c r="A42" s="32" t="s">
        <v>93</v>
      </c>
      <c r="B42" s="32" t="s">
        <v>79</v>
      </c>
      <c r="C42" s="30" t="s">
        <v>127</v>
      </c>
      <c r="D42" s="31" t="s">
        <v>152</v>
      </c>
      <c r="E42" s="31" t="s">
        <v>123</v>
      </c>
      <c r="F42" s="31"/>
      <c r="G42" s="31"/>
    </row>
    <row r="43" spans="1:7">
      <c r="A43" s="32" t="s">
        <v>93</v>
      </c>
      <c r="B43" s="32" t="s">
        <v>79</v>
      </c>
      <c r="C43" s="30" t="s">
        <v>130</v>
      </c>
      <c r="D43" s="31" t="s">
        <v>153</v>
      </c>
      <c r="E43" s="31" t="s">
        <v>154</v>
      </c>
      <c r="F43" s="31"/>
      <c r="G43" s="31"/>
    </row>
    <row r="44" spans="1:7">
      <c r="A44" s="32" t="s">
        <v>93</v>
      </c>
      <c r="B44" s="32" t="s">
        <v>79</v>
      </c>
      <c r="C44" s="30" t="s">
        <v>131</v>
      </c>
      <c r="D44" s="31" t="s">
        <v>155</v>
      </c>
      <c r="E44" s="31" t="s">
        <v>126</v>
      </c>
      <c r="F44" s="31"/>
      <c r="G44" s="31"/>
    </row>
    <row r="45" spans="1:7">
      <c r="A45" s="32" t="s">
        <v>93</v>
      </c>
      <c r="B45" s="32" t="s">
        <v>79</v>
      </c>
      <c r="C45" s="30" t="s">
        <v>134</v>
      </c>
      <c r="D45" s="31" t="s">
        <v>150</v>
      </c>
      <c r="E45" s="31" t="s">
        <v>120</v>
      </c>
      <c r="F45" s="31"/>
      <c r="G45" s="31"/>
    </row>
    <row r="46" spans="1:7">
      <c r="A46" s="32" t="s">
        <v>93</v>
      </c>
      <c r="B46" s="32" t="s">
        <v>79</v>
      </c>
      <c r="C46" s="30" t="s">
        <v>136</v>
      </c>
      <c r="D46" s="31" t="s">
        <v>81</v>
      </c>
      <c r="E46" s="31" t="s">
        <v>81</v>
      </c>
      <c r="F46" s="31"/>
      <c r="G46" s="31"/>
    </row>
    <row r="47" spans="1:7">
      <c r="A47" s="32" t="s">
        <v>93</v>
      </c>
      <c r="B47" s="32" t="s">
        <v>79</v>
      </c>
      <c r="C47" s="30" t="s">
        <v>137</v>
      </c>
      <c r="D47" s="31" t="s">
        <v>81</v>
      </c>
      <c r="E47" s="31" t="s">
        <v>81</v>
      </c>
      <c r="F47" s="31"/>
      <c r="G47" s="31"/>
    </row>
    <row r="48" spans="1:7">
      <c r="A48" s="32" t="s">
        <v>93</v>
      </c>
      <c r="B48" s="32" t="s">
        <v>79</v>
      </c>
      <c r="C48" s="30" t="s">
        <v>138</v>
      </c>
      <c r="D48" s="31" t="s">
        <v>81</v>
      </c>
      <c r="E48" s="31" t="s">
        <v>81</v>
      </c>
      <c r="F48" s="31"/>
      <c r="G48" s="31"/>
    </row>
    <row r="49" spans="1:7">
      <c r="A49" s="32" t="s">
        <v>94</v>
      </c>
      <c r="B49" s="32" t="s">
        <v>79</v>
      </c>
      <c r="C49" s="30" t="s">
        <v>124</v>
      </c>
      <c r="D49" s="31" t="s">
        <v>122</v>
      </c>
      <c r="E49" s="31" t="s">
        <v>156</v>
      </c>
      <c r="F49" s="31"/>
      <c r="G49" s="31"/>
    </row>
    <row r="50" spans="1:7">
      <c r="A50" s="32" t="s">
        <v>94</v>
      </c>
      <c r="B50" s="32" t="s">
        <v>79</v>
      </c>
      <c r="C50" s="30" t="s">
        <v>127</v>
      </c>
      <c r="D50" s="31" t="s">
        <v>78</v>
      </c>
      <c r="E50" s="31" t="s">
        <v>146</v>
      </c>
      <c r="F50" s="31"/>
      <c r="G50" s="31"/>
    </row>
    <row r="51" spans="1:7">
      <c r="A51" s="32" t="s">
        <v>94</v>
      </c>
      <c r="B51" s="32" t="s">
        <v>79</v>
      </c>
      <c r="C51" s="30" t="s">
        <v>130</v>
      </c>
      <c r="D51" s="31" t="s">
        <v>157</v>
      </c>
      <c r="E51" s="31" t="s">
        <v>81</v>
      </c>
      <c r="F51" s="31"/>
      <c r="G51" s="31"/>
    </row>
    <row r="52" spans="1:7">
      <c r="A52" s="32" t="s">
        <v>94</v>
      </c>
      <c r="B52" s="32" t="s">
        <v>79</v>
      </c>
      <c r="C52" s="30" t="s">
        <v>131</v>
      </c>
      <c r="D52" s="31" t="s">
        <v>158</v>
      </c>
      <c r="E52" s="31" t="s">
        <v>81</v>
      </c>
      <c r="F52" s="31"/>
      <c r="G52" s="31"/>
    </row>
    <row r="53" spans="1:7">
      <c r="A53" s="32" t="s">
        <v>94</v>
      </c>
      <c r="B53" s="32" t="s">
        <v>79</v>
      </c>
      <c r="C53" s="30" t="s">
        <v>134</v>
      </c>
      <c r="D53" s="31" t="s">
        <v>81</v>
      </c>
      <c r="E53" s="31" t="s">
        <v>81</v>
      </c>
      <c r="F53" s="31"/>
      <c r="G53" s="31"/>
    </row>
    <row r="54" spans="1:7">
      <c r="A54" s="32" t="s">
        <v>94</v>
      </c>
      <c r="B54" s="32" t="s">
        <v>79</v>
      </c>
      <c r="C54" s="30" t="s">
        <v>136</v>
      </c>
      <c r="D54" s="31" t="s">
        <v>81</v>
      </c>
      <c r="E54" s="31" t="s">
        <v>81</v>
      </c>
      <c r="F54" s="31"/>
      <c r="G54" s="31"/>
    </row>
    <row r="55" spans="1:7">
      <c r="A55" s="32" t="s">
        <v>94</v>
      </c>
      <c r="B55" s="32" t="s">
        <v>79</v>
      </c>
      <c r="C55" s="30" t="s">
        <v>137</v>
      </c>
      <c r="D55" s="31" t="s">
        <v>81</v>
      </c>
      <c r="E55" s="31" t="s">
        <v>81</v>
      </c>
      <c r="F55" s="31"/>
      <c r="G55" s="31"/>
    </row>
    <row r="56" spans="1:7">
      <c r="A56" s="32" t="s">
        <v>94</v>
      </c>
      <c r="B56" s="32" t="s">
        <v>79</v>
      </c>
      <c r="C56" s="30" t="s">
        <v>138</v>
      </c>
      <c r="D56" s="31" t="s">
        <v>159</v>
      </c>
      <c r="E56" s="31" t="s">
        <v>81</v>
      </c>
      <c r="F56" s="31"/>
      <c r="G56" s="31"/>
    </row>
    <row r="57" spans="1:7">
      <c r="A57" s="32" t="s">
        <v>95</v>
      </c>
      <c r="B57" s="32" t="s">
        <v>79</v>
      </c>
      <c r="C57" s="30" t="s">
        <v>124</v>
      </c>
      <c r="D57" s="30" t="s">
        <v>160</v>
      </c>
      <c r="E57" s="31" t="s">
        <v>121</v>
      </c>
      <c r="F57" s="31"/>
      <c r="G57" s="31"/>
    </row>
    <row r="58" spans="1:7">
      <c r="A58" s="32" t="s">
        <v>95</v>
      </c>
      <c r="B58" s="32" t="s">
        <v>79</v>
      </c>
      <c r="C58" s="30" t="s">
        <v>127</v>
      </c>
      <c r="D58" s="31" t="s">
        <v>161</v>
      </c>
      <c r="E58" s="31" t="s">
        <v>162</v>
      </c>
      <c r="F58" s="31"/>
      <c r="G58" s="31"/>
    </row>
    <row r="59" spans="1:7">
      <c r="A59" s="32" t="s">
        <v>95</v>
      </c>
      <c r="B59" s="32" t="s">
        <v>79</v>
      </c>
      <c r="C59" s="30" t="s">
        <v>130</v>
      </c>
      <c r="D59" s="31" t="s">
        <v>163</v>
      </c>
      <c r="E59" s="31" t="s">
        <v>154</v>
      </c>
      <c r="F59" s="31"/>
      <c r="G59" s="31"/>
    </row>
    <row r="60" spans="1:7">
      <c r="A60" s="32" t="s">
        <v>95</v>
      </c>
      <c r="B60" s="32" t="s">
        <v>79</v>
      </c>
      <c r="C60" s="30" t="s">
        <v>131</v>
      </c>
      <c r="D60" s="31" t="s">
        <v>81</v>
      </c>
      <c r="E60" s="31" t="s">
        <v>81</v>
      </c>
      <c r="F60" s="30"/>
      <c r="G60" s="31"/>
    </row>
    <row r="61" spans="1:7">
      <c r="A61" s="32" t="s">
        <v>95</v>
      </c>
      <c r="B61" s="32" t="s">
        <v>79</v>
      </c>
      <c r="C61" s="30" t="s">
        <v>134</v>
      </c>
      <c r="D61" s="31" t="s">
        <v>81</v>
      </c>
      <c r="E61" s="31" t="s">
        <v>81</v>
      </c>
      <c r="F61" s="31"/>
      <c r="G61" s="31"/>
    </row>
    <row r="62" spans="1:7">
      <c r="A62" s="32" t="s">
        <v>95</v>
      </c>
      <c r="B62" s="32" t="s">
        <v>79</v>
      </c>
      <c r="C62" s="30" t="s">
        <v>136</v>
      </c>
      <c r="D62" s="31" t="s">
        <v>81</v>
      </c>
      <c r="E62" s="31" t="s">
        <v>81</v>
      </c>
      <c r="F62" s="31"/>
      <c r="G62" s="31"/>
    </row>
    <row r="63" spans="1:7">
      <c r="A63" s="32" t="s">
        <v>95</v>
      </c>
      <c r="B63" s="32" t="s">
        <v>79</v>
      </c>
      <c r="C63" s="30" t="s">
        <v>137</v>
      </c>
      <c r="D63" s="31" t="s">
        <v>81</v>
      </c>
      <c r="E63" s="31" t="s">
        <v>81</v>
      </c>
      <c r="F63" s="31"/>
      <c r="G63" s="31"/>
    </row>
    <row r="64" spans="1:7">
      <c r="A64" s="32" t="s">
        <v>95</v>
      </c>
      <c r="B64" s="32" t="s">
        <v>79</v>
      </c>
      <c r="C64" s="30" t="s">
        <v>138</v>
      </c>
      <c r="D64" s="31" t="s">
        <v>81</v>
      </c>
      <c r="E64" s="31" t="s">
        <v>81</v>
      </c>
      <c r="F64" s="31"/>
      <c r="G64" s="31"/>
    </row>
    <row r="65" spans="1:7">
      <c r="A65" s="32"/>
      <c r="B65" s="32"/>
      <c r="C65" s="30"/>
      <c r="D65" s="31"/>
      <c r="E65" s="31"/>
      <c r="F65" s="31"/>
      <c r="G65" s="31"/>
    </row>
    <row r="66" spans="1:7">
      <c r="A66" s="32"/>
      <c r="B66" s="32"/>
      <c r="C66" s="30"/>
      <c r="D66" s="31"/>
      <c r="E66" s="31"/>
      <c r="F66" s="31"/>
      <c r="G66" s="31"/>
    </row>
    <row r="67" spans="1:7">
      <c r="A67" s="32"/>
      <c r="B67" s="32"/>
      <c r="C67" s="30"/>
      <c r="D67" s="31"/>
      <c r="E67" s="31"/>
      <c r="F67" s="31"/>
      <c r="G67" s="31"/>
    </row>
    <row r="68" spans="1:7">
      <c r="A68" s="32"/>
      <c r="B68" s="32"/>
      <c r="C68" s="30"/>
      <c r="D68" s="31"/>
      <c r="E68" s="31"/>
      <c r="F68" s="31"/>
      <c r="G68" s="31"/>
    </row>
    <row r="69" spans="1:7">
      <c r="A69" s="32"/>
      <c r="B69" s="32"/>
      <c r="C69" s="30"/>
      <c r="D69" s="31"/>
      <c r="E69" s="31"/>
      <c r="F69" s="31"/>
      <c r="G69" s="31"/>
    </row>
    <row r="70" spans="1:7">
      <c r="A70" s="32"/>
      <c r="B70" s="32"/>
      <c r="C70" s="30"/>
      <c r="D70" s="31"/>
      <c r="E70" s="31"/>
      <c r="F70" s="31"/>
      <c r="G70" s="31"/>
    </row>
    <row r="71" spans="1:7">
      <c r="A71" s="32"/>
      <c r="B71" s="32"/>
      <c r="C71" s="30"/>
      <c r="D71" s="31"/>
      <c r="E71" s="31"/>
      <c r="F71" s="31"/>
      <c r="G71" s="31"/>
    </row>
    <row r="72" spans="1:7">
      <c r="A72" s="32"/>
      <c r="B72" s="32"/>
      <c r="C72" s="30"/>
      <c r="D72" s="31"/>
      <c r="E72" s="31"/>
      <c r="F72" s="31"/>
      <c r="G72" s="31"/>
    </row>
    <row r="73" spans="1:7">
      <c r="A73" s="32"/>
      <c r="B73" s="32"/>
      <c r="C73" s="30"/>
      <c r="D73" s="31"/>
      <c r="E73" s="31"/>
      <c r="F73" s="31"/>
      <c r="G73" s="31"/>
    </row>
    <row r="74" spans="1:7">
      <c r="A74" s="32"/>
      <c r="B74" s="32"/>
      <c r="C74" s="30"/>
      <c r="D74" s="31"/>
      <c r="E74" s="31"/>
      <c r="F74" s="31"/>
      <c r="G74" s="31"/>
    </row>
    <row r="75" spans="1:7">
      <c r="A75" s="32"/>
      <c r="B75" s="32"/>
      <c r="C75" s="30"/>
      <c r="D75" s="31"/>
      <c r="E75" s="31"/>
      <c r="F75" s="31"/>
      <c r="G75" s="31"/>
    </row>
    <row r="76" spans="1:7">
      <c r="A76" s="32"/>
      <c r="B76" s="32"/>
      <c r="C76" s="30"/>
      <c r="D76" s="31"/>
      <c r="E76" s="31"/>
      <c r="F76" s="31"/>
      <c r="G76" s="31"/>
    </row>
    <row r="77" spans="1:7">
      <c r="A77" s="32"/>
      <c r="B77" s="32"/>
      <c r="C77" s="30"/>
      <c r="D77" s="31"/>
      <c r="E77" s="31"/>
      <c r="F77" s="31"/>
      <c r="G77" s="3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7" workbookViewId="0">
      <selection activeCell="B28" sqref="B28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107</v>
      </c>
      <c r="B2" s="2" t="s">
        <v>19</v>
      </c>
      <c r="C2" s="30" t="s">
        <v>124</v>
      </c>
      <c r="D2" s="30" t="s">
        <v>125</v>
      </c>
      <c r="E2" s="31" t="s">
        <v>126</v>
      </c>
      <c r="F2">
        <v>36.22</v>
      </c>
      <c r="G2" s="7">
        <f t="shared" ref="G2:G8" si="0">(E2-D2)*24</f>
        <v>13.4</v>
      </c>
      <c r="H2" s="7">
        <f>MIN(G2,9)</f>
        <v>9</v>
      </c>
      <c r="I2" s="7">
        <f>IF(MAX(G2-9,0) - 1 &lt; 0, 0, MAX(G2-9,0) - 1)</f>
        <v>3.4000000000000004</v>
      </c>
      <c r="J2" s="7">
        <f t="shared" ref="J2:J8" si="1">H2*F2</f>
        <v>325.98</v>
      </c>
      <c r="K2" s="7">
        <f t="shared" ref="K2:K8" si="2">I2*F2*1.2</f>
        <v>147.77760000000001</v>
      </c>
      <c r="L2" s="7">
        <f t="shared" ref="L2:L8" si="3">J2+K2</f>
        <v>473.75760000000002</v>
      </c>
    </row>
    <row r="3" spans="1:12">
      <c r="A3" t="s">
        <v>107</v>
      </c>
      <c r="B3" s="2" t="s">
        <v>19</v>
      </c>
      <c r="C3" s="30" t="s">
        <v>127</v>
      </c>
      <c r="D3" s="30" t="s">
        <v>128</v>
      </c>
      <c r="E3" s="31" t="s">
        <v>129</v>
      </c>
      <c r="F3">
        <v>36.22</v>
      </c>
      <c r="G3" s="7">
        <f t="shared" si="0"/>
        <v>13.266666666666667</v>
      </c>
      <c r="H3" s="7">
        <f t="shared" ref="H3:H8" si="4">MIN(G3,9)</f>
        <v>9</v>
      </c>
      <c r="I3" s="7">
        <f t="shared" ref="I3:I8" si="5">IF(MAX(G3-9,0) - 1 &lt; 0, 0, MAX(G3-9,0) - 1)</f>
        <v>3.2666666666666675</v>
      </c>
      <c r="J3" s="7">
        <f t="shared" si="1"/>
        <v>325.98</v>
      </c>
      <c r="K3" s="7">
        <f t="shared" si="2"/>
        <v>141.98240000000001</v>
      </c>
      <c r="L3" s="7">
        <f t="shared" si="3"/>
        <v>467.9624</v>
      </c>
    </row>
    <row r="4" spans="1:12">
      <c r="A4" t="s">
        <v>107</v>
      </c>
      <c r="B4" s="2" t="s">
        <v>19</v>
      </c>
      <c r="C4" s="30" t="s">
        <v>130</v>
      </c>
      <c r="D4" s="31" t="s">
        <v>32</v>
      </c>
      <c r="E4" s="31" t="s">
        <v>32</v>
      </c>
      <c r="F4">
        <v>36.22</v>
      </c>
      <c r="G4" s="7">
        <f t="shared" si="0"/>
        <v>0</v>
      </c>
      <c r="H4" s="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107</v>
      </c>
      <c r="B5" s="2" t="s">
        <v>19</v>
      </c>
      <c r="C5" s="30" t="s">
        <v>131</v>
      </c>
      <c r="D5" s="30" t="s">
        <v>132</v>
      </c>
      <c r="E5" s="31" t="s">
        <v>133</v>
      </c>
      <c r="F5">
        <v>36.22</v>
      </c>
      <c r="G5" s="7">
        <f t="shared" si="0"/>
        <v>13.083333333333336</v>
      </c>
      <c r="H5" s="7">
        <f t="shared" si="4"/>
        <v>9</v>
      </c>
      <c r="I5" s="7">
        <f t="shared" si="5"/>
        <v>3.0833333333333357</v>
      </c>
      <c r="J5" s="7">
        <f t="shared" si="1"/>
        <v>325.98</v>
      </c>
      <c r="K5" s="7">
        <f t="shared" si="2"/>
        <v>134.0140000000001</v>
      </c>
      <c r="L5" s="7">
        <f t="shared" si="3"/>
        <v>459.99400000000014</v>
      </c>
    </row>
    <row r="6" spans="1:12">
      <c r="A6" t="s">
        <v>107</v>
      </c>
      <c r="B6" s="2" t="s">
        <v>19</v>
      </c>
      <c r="C6" s="30" t="s">
        <v>134</v>
      </c>
      <c r="D6" s="30" t="s">
        <v>135</v>
      </c>
      <c r="E6" s="31" t="s">
        <v>164</v>
      </c>
      <c r="F6">
        <v>36.22</v>
      </c>
      <c r="G6" s="7">
        <f t="shared" si="0"/>
        <v>4.5666666666666664</v>
      </c>
      <c r="H6" s="7">
        <f t="shared" si="4"/>
        <v>4.5666666666666664</v>
      </c>
      <c r="I6" s="7">
        <f t="shared" si="5"/>
        <v>0</v>
      </c>
      <c r="J6" s="7">
        <f t="shared" si="1"/>
        <v>165.40466666666666</v>
      </c>
      <c r="K6" s="7">
        <f t="shared" si="2"/>
        <v>0</v>
      </c>
      <c r="L6" s="7">
        <f t="shared" si="3"/>
        <v>165.40466666666666</v>
      </c>
    </row>
    <row r="7" spans="1:12">
      <c r="A7" t="s">
        <v>107</v>
      </c>
      <c r="B7" s="2" t="s">
        <v>19</v>
      </c>
      <c r="C7" s="30" t="s">
        <v>136</v>
      </c>
      <c r="D7" s="31" t="s">
        <v>32</v>
      </c>
      <c r="E7" s="31" t="s">
        <v>32</v>
      </c>
      <c r="F7">
        <v>36.22</v>
      </c>
      <c r="G7" s="7">
        <f t="shared" si="0"/>
        <v>0</v>
      </c>
      <c r="H7" s="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107</v>
      </c>
      <c r="B8" s="2" t="s">
        <v>19</v>
      </c>
      <c r="C8" s="30" t="s">
        <v>137</v>
      </c>
      <c r="D8" s="31" t="s">
        <v>32</v>
      </c>
      <c r="E8" s="31" t="s">
        <v>32</v>
      </c>
      <c r="F8">
        <v>36.22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C9" s="30" t="s">
        <v>138</v>
      </c>
      <c r="D9" s="31" t="s">
        <v>32</v>
      </c>
      <c r="E9" s="31" t="s">
        <v>32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107</v>
      </c>
      <c r="B15" s="8">
        <f>SUM(J2:J13)</f>
        <v>1143.3446666666666</v>
      </c>
      <c r="C15" s="8">
        <f>SUM(K2:K13)</f>
        <v>423.77400000000011</v>
      </c>
      <c r="D15" s="8">
        <f>SUM(L2:L13)</f>
        <v>1567.1186666666667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">
        <v>107</v>
      </c>
      <c r="C24" s="16"/>
    </row>
    <row r="25" spans="1:4">
      <c r="A25" s="10" t="s">
        <v>42</v>
      </c>
      <c r="B25" s="11" t="s">
        <v>110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">
        <v>165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1143.3446666666666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423.77400000000011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1567.1186666666667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1567.1186666666667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E25" sqref="E25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0" t="s">
        <v>124</v>
      </c>
      <c r="D2" s="31" t="s">
        <v>108</v>
      </c>
      <c r="E2" s="31" t="s">
        <v>58</v>
      </c>
      <c r="F2">
        <v>33.33</v>
      </c>
      <c r="G2">
        <f t="shared" ref="G2:G7" si="0">(E2-D2)*24</f>
        <v>11.5</v>
      </c>
      <c r="H2">
        <f>MIN(G2,9)</f>
        <v>9</v>
      </c>
      <c r="I2" s="7">
        <f>IF(MAX(G2-9,0) - 1 &lt; 0, 0, MAX(G2-9,0) - 1)</f>
        <v>1.5</v>
      </c>
      <c r="J2">
        <f t="shared" ref="J2:J8" si="1">H2*F2</f>
        <v>299.96999999999997</v>
      </c>
      <c r="K2">
        <f t="shared" ref="K2:K8" si="2">I2*F2*1.2</f>
        <v>59.993999999999993</v>
      </c>
      <c r="L2">
        <f t="shared" ref="L2:L8" si="3">J2+K2</f>
        <v>359.96399999999994</v>
      </c>
    </row>
    <row r="3" spans="1:12">
      <c r="A3" t="s">
        <v>12</v>
      </c>
      <c r="B3" s="2" t="s">
        <v>20</v>
      </c>
      <c r="C3" s="30" t="s">
        <v>127</v>
      </c>
      <c r="D3" s="31" t="s">
        <v>32</v>
      </c>
      <c r="E3" s="31" t="s">
        <v>32</v>
      </c>
      <c r="F3">
        <v>33.33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20</v>
      </c>
      <c r="C4" s="30" t="s">
        <v>130</v>
      </c>
      <c r="D4" s="31" t="s">
        <v>108</v>
      </c>
      <c r="E4" s="31" t="s">
        <v>58</v>
      </c>
      <c r="F4">
        <v>33.33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299.96999999999997</v>
      </c>
      <c r="K4">
        <f t="shared" si="2"/>
        <v>59.993999999999993</v>
      </c>
      <c r="L4">
        <f t="shared" si="3"/>
        <v>359.96399999999994</v>
      </c>
    </row>
    <row r="5" spans="1:12">
      <c r="A5" t="s">
        <v>12</v>
      </c>
      <c r="B5" s="2" t="s">
        <v>20</v>
      </c>
      <c r="C5" s="30" t="s">
        <v>131</v>
      </c>
      <c r="D5" s="31" t="s">
        <v>108</v>
      </c>
      <c r="E5" s="31" t="s">
        <v>58</v>
      </c>
      <c r="F5">
        <v>33.33</v>
      </c>
      <c r="G5">
        <f t="shared" si="0"/>
        <v>11.5</v>
      </c>
      <c r="H5">
        <f t="shared" si="4"/>
        <v>9</v>
      </c>
      <c r="I5" s="7">
        <f t="shared" si="5"/>
        <v>1.5</v>
      </c>
      <c r="J5">
        <f t="shared" si="1"/>
        <v>299.96999999999997</v>
      </c>
      <c r="K5">
        <f t="shared" si="2"/>
        <v>59.993999999999993</v>
      </c>
      <c r="L5">
        <f t="shared" si="3"/>
        <v>359.96399999999994</v>
      </c>
    </row>
    <row r="6" spans="1:12">
      <c r="A6" t="s">
        <v>12</v>
      </c>
      <c r="B6" s="2" t="s">
        <v>20</v>
      </c>
      <c r="C6" s="30" t="s">
        <v>134</v>
      </c>
      <c r="D6" s="31" t="s">
        <v>108</v>
      </c>
      <c r="E6" s="31" t="s">
        <v>58</v>
      </c>
      <c r="F6">
        <v>33.33</v>
      </c>
      <c r="G6">
        <f t="shared" si="0"/>
        <v>11.5</v>
      </c>
      <c r="H6">
        <f t="shared" si="4"/>
        <v>9</v>
      </c>
      <c r="I6" s="7">
        <f t="shared" si="5"/>
        <v>1.5</v>
      </c>
      <c r="J6">
        <f t="shared" si="1"/>
        <v>299.96999999999997</v>
      </c>
      <c r="K6">
        <f t="shared" si="2"/>
        <v>59.993999999999993</v>
      </c>
      <c r="L6">
        <f t="shared" si="3"/>
        <v>359.96399999999994</v>
      </c>
    </row>
    <row r="7" spans="1:12">
      <c r="A7" t="s">
        <v>12</v>
      </c>
      <c r="B7" s="2" t="s">
        <v>20</v>
      </c>
      <c r="C7" s="30" t="s">
        <v>136</v>
      </c>
      <c r="D7" s="31" t="s">
        <v>32</v>
      </c>
      <c r="E7" s="31" t="s">
        <v>32</v>
      </c>
      <c r="F7">
        <v>33.33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20</v>
      </c>
      <c r="C8" s="30" t="s">
        <v>137</v>
      </c>
      <c r="D8" s="31" t="s">
        <v>108</v>
      </c>
      <c r="E8" s="31" t="s">
        <v>58</v>
      </c>
      <c r="F8">
        <v>33.33</v>
      </c>
      <c r="G8">
        <f>(E8-D8)*24</f>
        <v>11.5</v>
      </c>
      <c r="H8">
        <f t="shared" si="4"/>
        <v>9</v>
      </c>
      <c r="I8" s="7">
        <f t="shared" si="5"/>
        <v>1.5</v>
      </c>
      <c r="J8">
        <f t="shared" si="1"/>
        <v>299.96999999999997</v>
      </c>
      <c r="K8">
        <f t="shared" si="2"/>
        <v>59.993999999999993</v>
      </c>
      <c r="L8">
        <f t="shared" si="3"/>
        <v>359.96399999999994</v>
      </c>
    </row>
    <row r="9" spans="1:12">
      <c r="C9" s="30" t="s">
        <v>138</v>
      </c>
      <c r="D9" s="31" t="s">
        <v>108</v>
      </c>
      <c r="E9" s="31" t="s">
        <v>58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1499.85</v>
      </c>
      <c r="C15" s="8">
        <f>SUM(K2:K13)</f>
        <v>299.96999999999997</v>
      </c>
      <c r="D15" s="8">
        <f>SUM(L2:L13)</f>
        <v>1799.8199999999997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1499.85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299.96999999999997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1799.8199999999997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1799.8199999999997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topLeftCell="A4" workbookViewId="0">
      <selection activeCell="E8" sqref="E8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0" t="s">
        <v>124</v>
      </c>
      <c r="D2" s="31" t="s">
        <v>31</v>
      </c>
      <c r="E2" s="31" t="s">
        <v>73</v>
      </c>
      <c r="F2">
        <v>36.32</v>
      </c>
      <c r="G2">
        <f t="shared" ref="G2:G8" si="0">(E2-D2)*24</f>
        <v>7.4999999999999982</v>
      </c>
      <c r="H2">
        <f>MIN(G2,9)</f>
        <v>7.4999999999999982</v>
      </c>
      <c r="I2" s="7">
        <f>IF(MAX(G2-9,0) - 1 &lt; 0, 0, MAX(G2-9,0) - 1)</f>
        <v>0</v>
      </c>
      <c r="J2">
        <f t="shared" ref="J2:J8" si="1">H2*F2</f>
        <v>272.39999999999992</v>
      </c>
      <c r="K2">
        <f t="shared" ref="K2:K8" si="2">I2*F2*1.2</f>
        <v>0</v>
      </c>
      <c r="L2">
        <f t="shared" ref="L2:L8" si="3">J2+K2</f>
        <v>272.39999999999992</v>
      </c>
    </row>
    <row r="3" spans="1:12">
      <c r="A3" t="s">
        <v>33</v>
      </c>
      <c r="B3" s="2" t="s">
        <v>19</v>
      </c>
      <c r="C3" s="30" t="s">
        <v>127</v>
      </c>
      <c r="D3" s="31" t="s">
        <v>31</v>
      </c>
      <c r="E3" s="31" t="s">
        <v>61</v>
      </c>
      <c r="F3">
        <v>36.32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308.72000000000003</v>
      </c>
      <c r="K3">
        <f t="shared" si="2"/>
        <v>0</v>
      </c>
      <c r="L3">
        <f t="shared" si="3"/>
        <v>308.72000000000003</v>
      </c>
    </row>
    <row r="4" spans="1:12">
      <c r="A4" t="s">
        <v>33</v>
      </c>
      <c r="B4" s="2" t="s">
        <v>19</v>
      </c>
      <c r="C4" s="30" t="s">
        <v>130</v>
      </c>
      <c r="D4" s="31" t="s">
        <v>32</v>
      </c>
      <c r="E4" s="31" t="s">
        <v>32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33</v>
      </c>
      <c r="B5" s="2" t="s">
        <v>19</v>
      </c>
      <c r="C5" s="30" t="s">
        <v>131</v>
      </c>
      <c r="D5" s="31" t="s">
        <v>31</v>
      </c>
      <c r="E5" s="31" t="s">
        <v>58</v>
      </c>
      <c r="F5">
        <v>36.32</v>
      </c>
      <c r="G5">
        <f t="shared" si="0"/>
        <v>12.499999999999998</v>
      </c>
      <c r="H5">
        <f t="shared" si="4"/>
        <v>9</v>
      </c>
      <c r="I5" s="7">
        <f t="shared" si="5"/>
        <v>2.4999999999999982</v>
      </c>
      <c r="J5">
        <f t="shared" si="1"/>
        <v>326.88</v>
      </c>
      <c r="K5">
        <f t="shared" si="2"/>
        <v>108.95999999999992</v>
      </c>
      <c r="L5">
        <f t="shared" si="3"/>
        <v>435.83999999999992</v>
      </c>
    </row>
    <row r="6" spans="1:12">
      <c r="A6" t="s">
        <v>33</v>
      </c>
      <c r="B6" s="2" t="s">
        <v>19</v>
      </c>
      <c r="C6" s="30" t="s">
        <v>134</v>
      </c>
      <c r="D6" s="31" t="s">
        <v>31</v>
      </c>
      <c r="E6" s="31" t="s">
        <v>58</v>
      </c>
      <c r="F6">
        <v>36.32</v>
      </c>
      <c r="G6">
        <f t="shared" si="0"/>
        <v>12.499999999999998</v>
      </c>
      <c r="H6">
        <f t="shared" si="4"/>
        <v>9</v>
      </c>
      <c r="I6" s="7">
        <f t="shared" si="5"/>
        <v>2.4999999999999982</v>
      </c>
      <c r="J6">
        <f t="shared" si="1"/>
        <v>326.88</v>
      </c>
      <c r="K6">
        <f t="shared" si="2"/>
        <v>108.95999999999992</v>
      </c>
      <c r="L6">
        <f t="shared" si="3"/>
        <v>435.83999999999992</v>
      </c>
    </row>
    <row r="7" spans="1:12">
      <c r="A7" t="s">
        <v>33</v>
      </c>
      <c r="B7" s="2" t="s">
        <v>19</v>
      </c>
      <c r="C7" s="30" t="s">
        <v>136</v>
      </c>
      <c r="D7" s="31" t="s">
        <v>32</v>
      </c>
      <c r="E7" s="31" t="s">
        <v>32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33</v>
      </c>
      <c r="B8" s="2" t="s">
        <v>19</v>
      </c>
      <c r="C8" s="30" t="s">
        <v>137</v>
      </c>
      <c r="D8" s="31" t="s">
        <v>108</v>
      </c>
      <c r="E8" s="31" t="s">
        <v>58</v>
      </c>
      <c r="F8">
        <v>36.32</v>
      </c>
      <c r="G8">
        <f t="shared" si="0"/>
        <v>11.5</v>
      </c>
      <c r="H8">
        <f t="shared" si="4"/>
        <v>9</v>
      </c>
      <c r="I8" s="7">
        <f t="shared" si="5"/>
        <v>1.5</v>
      </c>
      <c r="J8">
        <f t="shared" si="1"/>
        <v>326.88</v>
      </c>
      <c r="K8">
        <f t="shared" si="2"/>
        <v>65.376000000000005</v>
      </c>
      <c r="L8">
        <f t="shared" si="3"/>
        <v>392.25599999999997</v>
      </c>
    </row>
    <row r="9" spans="1:12">
      <c r="C9" s="30" t="s">
        <v>138</v>
      </c>
      <c r="D9" s="31" t="s">
        <v>108</v>
      </c>
      <c r="E9" s="31" t="s">
        <v>58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1561.7599999999998</v>
      </c>
      <c r="C15" s="8">
        <f>SUM(K2:K13)</f>
        <v>283.29599999999982</v>
      </c>
      <c r="D15" s="8">
        <f>SUM(L2:L13)</f>
        <v>1845.0559999999996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1561.7599999999998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283.29599999999982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1845.0559999999996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1845.0559999999996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topLeftCell="A7" workbookViewId="0">
      <selection activeCell="E8" sqref="E8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0" t="s">
        <v>124</v>
      </c>
      <c r="D2" s="31" t="s">
        <v>63</v>
      </c>
      <c r="E2" s="31" t="s">
        <v>55</v>
      </c>
      <c r="F2">
        <v>37.39</v>
      </c>
      <c r="G2">
        <f t="shared" ref="G2:G8" si="0">(E2-D2)*24</f>
        <v>12.5</v>
      </c>
      <c r="H2">
        <f>MIN(G2,9)</f>
        <v>9</v>
      </c>
      <c r="I2" s="7">
        <f>IF(MAX(G2-9,0) - 1 &lt; 0, 0, MAX(G2-9,0) - 1)</f>
        <v>2.5</v>
      </c>
      <c r="J2">
        <f t="shared" ref="J2:J8" si="1">H2*F2</f>
        <v>336.51</v>
      </c>
      <c r="K2">
        <f t="shared" ref="K2:K8" si="2">I2*F2*1.2</f>
        <v>112.16999999999999</v>
      </c>
      <c r="L2">
        <f t="shared" ref="L2:L8" si="3">J2+K2</f>
        <v>448.67999999999995</v>
      </c>
    </row>
    <row r="3" spans="1:12">
      <c r="A3" t="s">
        <v>15</v>
      </c>
      <c r="B3" s="2" t="s">
        <v>19</v>
      </c>
      <c r="C3" s="30" t="s">
        <v>127</v>
      </c>
      <c r="D3" s="31" t="s">
        <v>63</v>
      </c>
      <c r="E3" s="31" t="s">
        <v>55</v>
      </c>
      <c r="F3">
        <v>37.39</v>
      </c>
      <c r="G3">
        <f t="shared" si="0"/>
        <v>12.5</v>
      </c>
      <c r="H3">
        <f t="shared" ref="H3:H8" si="4">MIN(G3,9)</f>
        <v>9</v>
      </c>
      <c r="I3" s="7">
        <f t="shared" ref="I3:I8" si="5">IF(MAX(G3-9,0) - 1 &lt; 0, 0, MAX(G3-9,0) - 1)</f>
        <v>2.5</v>
      </c>
      <c r="J3">
        <f t="shared" si="1"/>
        <v>336.51</v>
      </c>
      <c r="K3">
        <f t="shared" si="2"/>
        <v>112.16999999999999</v>
      </c>
      <c r="L3">
        <f t="shared" si="3"/>
        <v>448.67999999999995</v>
      </c>
    </row>
    <row r="4" spans="1:12">
      <c r="A4" t="s">
        <v>15</v>
      </c>
      <c r="B4" s="2" t="s">
        <v>19</v>
      </c>
      <c r="C4" s="30" t="s">
        <v>130</v>
      </c>
      <c r="D4" s="30" t="s">
        <v>112</v>
      </c>
      <c r="E4" s="31" t="s">
        <v>55</v>
      </c>
      <c r="F4">
        <v>37.39</v>
      </c>
      <c r="G4">
        <f t="shared" si="0"/>
        <v>13.5</v>
      </c>
      <c r="H4">
        <f t="shared" si="4"/>
        <v>9</v>
      </c>
      <c r="I4" s="7">
        <f t="shared" si="5"/>
        <v>3.5</v>
      </c>
      <c r="J4">
        <f t="shared" si="1"/>
        <v>336.51</v>
      </c>
      <c r="K4">
        <f t="shared" si="2"/>
        <v>157.03800000000001</v>
      </c>
      <c r="L4">
        <f t="shared" si="3"/>
        <v>493.548</v>
      </c>
    </row>
    <row r="5" spans="1:12">
      <c r="A5" t="s">
        <v>15</v>
      </c>
      <c r="B5" s="2" t="s">
        <v>19</v>
      </c>
      <c r="C5" s="30" t="s">
        <v>131</v>
      </c>
      <c r="D5" s="31" t="s">
        <v>32</v>
      </c>
      <c r="E5" s="31" t="s">
        <v>32</v>
      </c>
      <c r="F5">
        <v>37.39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15</v>
      </c>
      <c r="B6" s="2" t="s">
        <v>19</v>
      </c>
      <c r="C6" s="30" t="s">
        <v>134</v>
      </c>
      <c r="D6" s="31" t="s">
        <v>63</v>
      </c>
      <c r="E6" s="31" t="s">
        <v>55</v>
      </c>
      <c r="F6">
        <v>37.39</v>
      </c>
      <c r="G6">
        <f t="shared" si="0"/>
        <v>12.5</v>
      </c>
      <c r="H6">
        <f t="shared" si="4"/>
        <v>9</v>
      </c>
      <c r="I6" s="7">
        <f t="shared" si="5"/>
        <v>2.5</v>
      </c>
      <c r="J6">
        <f t="shared" si="1"/>
        <v>336.51</v>
      </c>
      <c r="K6">
        <f t="shared" si="2"/>
        <v>112.16999999999999</v>
      </c>
      <c r="L6">
        <f t="shared" si="3"/>
        <v>448.67999999999995</v>
      </c>
    </row>
    <row r="7" spans="1:12">
      <c r="A7" t="s">
        <v>15</v>
      </c>
      <c r="B7" s="2" t="s">
        <v>19</v>
      </c>
      <c r="C7" s="30" t="s">
        <v>136</v>
      </c>
      <c r="D7" s="31" t="s">
        <v>32</v>
      </c>
      <c r="E7" s="31" t="s">
        <v>32</v>
      </c>
      <c r="F7">
        <v>37.39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15</v>
      </c>
      <c r="B8" s="2" t="s">
        <v>19</v>
      </c>
      <c r="C8" s="30" t="s">
        <v>137</v>
      </c>
      <c r="D8" s="31" t="s">
        <v>63</v>
      </c>
      <c r="E8" s="31" t="s">
        <v>55</v>
      </c>
      <c r="F8">
        <v>37.39</v>
      </c>
      <c r="G8">
        <f t="shared" si="0"/>
        <v>12.5</v>
      </c>
      <c r="H8">
        <f t="shared" si="4"/>
        <v>9</v>
      </c>
      <c r="I8" s="7">
        <f t="shared" si="5"/>
        <v>2.5</v>
      </c>
      <c r="J8">
        <f t="shared" si="1"/>
        <v>336.51</v>
      </c>
      <c r="K8">
        <f t="shared" si="2"/>
        <v>112.16999999999999</v>
      </c>
      <c r="L8">
        <f t="shared" si="3"/>
        <v>448.67999999999995</v>
      </c>
    </row>
    <row r="9" spans="1:12">
      <c r="C9" s="30" t="s">
        <v>138</v>
      </c>
      <c r="D9" s="31" t="s">
        <v>63</v>
      </c>
      <c r="E9" s="31" t="s">
        <v>55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1682.55</v>
      </c>
      <c r="C15" s="8">
        <f>SUM(K2:K13)</f>
        <v>605.71799999999996</v>
      </c>
      <c r="D15" s="8">
        <f>SUM(L2:L13)</f>
        <v>2288.2679999999996</v>
      </c>
    </row>
    <row r="18" spans="1:11">
      <c r="G18" s="22"/>
      <c r="H18" s="22"/>
      <c r="I18" s="4"/>
      <c r="J18" s="4"/>
      <c r="K18" s="23"/>
    </row>
    <row r="19" spans="1:11">
      <c r="G19" s="22"/>
      <c r="H19" s="22"/>
      <c r="I19" s="4"/>
      <c r="J19" s="4"/>
      <c r="K19" s="23"/>
    </row>
    <row r="20" spans="1:11">
      <c r="G20" s="22"/>
      <c r="H20" s="4"/>
      <c r="I20" s="5"/>
      <c r="J20" s="5"/>
    </row>
    <row r="21" spans="1:11">
      <c r="G21" s="22"/>
      <c r="H21" s="4"/>
      <c r="I21" s="24"/>
      <c r="J21" s="24"/>
    </row>
    <row r="22" spans="1:11">
      <c r="G22" s="22"/>
      <c r="H22" s="4"/>
      <c r="I22" s="5"/>
      <c r="J22" s="5"/>
    </row>
    <row r="23" spans="1:11" ht="21.6" customHeight="1">
      <c r="A23" s="33" t="s">
        <v>40</v>
      </c>
      <c r="B23" s="33"/>
      <c r="C23" s="15"/>
      <c r="D23" s="9"/>
      <c r="G23" s="22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2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2"/>
      <c r="H25" s="4"/>
      <c r="I25" s="5"/>
      <c r="J25" s="5"/>
    </row>
    <row r="26" spans="1:11">
      <c r="A26" s="10" t="s">
        <v>43</v>
      </c>
      <c r="B26" s="12">
        <f>C8+1</f>
        <v>46125</v>
      </c>
      <c r="C26" s="16"/>
      <c r="G26" s="22"/>
      <c r="H26" s="4"/>
      <c r="I26" s="24"/>
      <c r="J26" s="24"/>
    </row>
    <row r="27" spans="1:11">
      <c r="A27" s="10" t="s">
        <v>51</v>
      </c>
      <c r="B27" s="10" t="str">
        <f>Kent!B27</f>
        <v>Apr-06 to Apr-13, 2026</v>
      </c>
      <c r="C27" s="16"/>
      <c r="G27" s="22"/>
      <c r="H27" s="4"/>
      <c r="I27" s="5"/>
      <c r="J27" s="5"/>
    </row>
    <row r="28" spans="1:11">
      <c r="A28" s="10" t="s">
        <v>64</v>
      </c>
      <c r="B28" s="10">
        <f>COUNTIF(D2:D8, "*:*")</f>
        <v>5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1682.55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605.71799999999996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2288.2679999999996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2288.2679999999996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D7" sqref="D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106</v>
      </c>
      <c r="B2" s="2" t="s">
        <v>19</v>
      </c>
      <c r="C2" s="30" t="s">
        <v>113</v>
      </c>
      <c r="D2" s="30" t="s">
        <v>31</v>
      </c>
      <c r="E2" s="30" t="s">
        <v>111</v>
      </c>
      <c r="F2">
        <v>36.32</v>
      </c>
      <c r="G2">
        <f t="shared" ref="G2:G8" si="0">(E2-D2)*24</f>
        <v>1.5</v>
      </c>
      <c r="H2">
        <f>MIN(G2,9)</f>
        <v>1.5</v>
      </c>
      <c r="I2" s="7">
        <f>IF(MAX(G2-9,0) - 1 &lt; 0, 0, MAX(G2-9,0) - 1)</f>
        <v>0</v>
      </c>
      <c r="J2">
        <f t="shared" ref="J2:J8" si="1">H2*F2</f>
        <v>54.480000000000004</v>
      </c>
      <c r="K2">
        <f t="shared" ref="K2:K8" si="2">I2*F2*1.2</f>
        <v>0</v>
      </c>
      <c r="L2">
        <f t="shared" ref="L2:L8" si="3">J2+K2</f>
        <v>54.480000000000004</v>
      </c>
    </row>
    <row r="3" spans="1:12">
      <c r="A3" t="s">
        <v>106</v>
      </c>
      <c r="B3" s="2" t="s">
        <v>19</v>
      </c>
      <c r="C3" s="30" t="s">
        <v>114</v>
      </c>
      <c r="D3" s="30" t="s">
        <v>112</v>
      </c>
      <c r="E3" s="31" t="s">
        <v>61</v>
      </c>
      <c r="F3">
        <v>36.32</v>
      </c>
      <c r="G3">
        <f t="shared" si="0"/>
        <v>9.0000000000000018</v>
      </c>
      <c r="H3">
        <f t="shared" ref="H3:H8" si="4">MIN(G3,9)</f>
        <v>9</v>
      </c>
      <c r="I3" s="7">
        <f t="shared" ref="I3:I8" si="5">IF(MAX(G3-9,0) - 1 &lt; 0, 0, MAX(G3-9,0) - 1)</f>
        <v>0</v>
      </c>
      <c r="J3">
        <f t="shared" si="1"/>
        <v>326.88</v>
      </c>
      <c r="K3">
        <f t="shared" si="2"/>
        <v>0</v>
      </c>
      <c r="L3">
        <f t="shared" si="3"/>
        <v>326.88</v>
      </c>
    </row>
    <row r="4" spans="1:12">
      <c r="A4" t="s">
        <v>106</v>
      </c>
      <c r="B4" s="2" t="s">
        <v>19</v>
      </c>
      <c r="C4" s="30" t="s">
        <v>115</v>
      </c>
      <c r="D4" s="30" t="s">
        <v>112</v>
      </c>
      <c r="E4" s="31" t="s">
        <v>55</v>
      </c>
      <c r="F4">
        <v>36.32</v>
      </c>
      <c r="G4">
        <f t="shared" si="0"/>
        <v>13.5</v>
      </c>
      <c r="H4">
        <f t="shared" si="4"/>
        <v>9</v>
      </c>
      <c r="I4" s="7">
        <f t="shared" si="5"/>
        <v>3.5</v>
      </c>
      <c r="J4">
        <f t="shared" si="1"/>
        <v>326.88</v>
      </c>
      <c r="K4">
        <f t="shared" si="2"/>
        <v>152.54400000000001</v>
      </c>
      <c r="L4">
        <f t="shared" si="3"/>
        <v>479.42399999999998</v>
      </c>
    </row>
    <row r="5" spans="1:12">
      <c r="A5" t="s">
        <v>106</v>
      </c>
      <c r="B5" s="2" t="s">
        <v>19</v>
      </c>
      <c r="C5" s="30" t="s">
        <v>116</v>
      </c>
      <c r="D5" s="31" t="s">
        <v>32</v>
      </c>
      <c r="E5" s="31" t="s">
        <v>32</v>
      </c>
      <c r="F5">
        <v>36.32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106</v>
      </c>
      <c r="B6" s="2" t="s">
        <v>19</v>
      </c>
      <c r="C6" s="30" t="s">
        <v>117</v>
      </c>
      <c r="D6" s="31" t="s">
        <v>32</v>
      </c>
      <c r="E6" s="31" t="s">
        <v>32</v>
      </c>
      <c r="F6">
        <v>36.32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106</v>
      </c>
      <c r="B7" s="2" t="s">
        <v>19</v>
      </c>
      <c r="C7" s="30" t="s">
        <v>118</v>
      </c>
      <c r="D7" s="31" t="s">
        <v>32</v>
      </c>
      <c r="E7" s="31" t="s">
        <v>32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106</v>
      </c>
      <c r="B8" s="2" t="s">
        <v>19</v>
      </c>
      <c r="C8" s="30" t="s">
        <v>119</v>
      </c>
      <c r="D8" s="31" t="s">
        <v>32</v>
      </c>
      <c r="E8" s="31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106</v>
      </c>
      <c r="B15" s="8">
        <f>SUM(J2:J13)</f>
        <v>708.24</v>
      </c>
      <c r="C15" s="8">
        <f>SUM(K2:K13)</f>
        <v>152.54400000000001</v>
      </c>
      <c r="D15" s="8">
        <f>SUM(L2:L13)</f>
        <v>860.78399999999999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Ruela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46118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3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708.24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152.54400000000001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860.78399999999999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860.78399999999999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topLeftCell="A4" workbookViewId="0">
      <selection activeCell="J10" sqref="J10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0" t="s">
        <v>124</v>
      </c>
      <c r="D2" s="31" t="s">
        <v>32</v>
      </c>
      <c r="E2" s="31" t="s">
        <v>32</v>
      </c>
      <c r="F2">
        <v>27.77</v>
      </c>
      <c r="G2" s="25">
        <f t="shared" ref="G2:G8" si="0">(E2-D2)*24</f>
        <v>0</v>
      </c>
      <c r="H2" s="25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16</v>
      </c>
      <c r="B3" s="2" t="s">
        <v>20</v>
      </c>
      <c r="C3" s="30" t="s">
        <v>127</v>
      </c>
      <c r="D3" s="31" t="s">
        <v>152</v>
      </c>
      <c r="E3" s="31" t="s">
        <v>55</v>
      </c>
      <c r="F3">
        <v>27.77</v>
      </c>
      <c r="G3" s="25">
        <f t="shared" si="0"/>
        <v>12.533333333333335</v>
      </c>
      <c r="H3" s="25">
        <f>MIN(G3,8)</f>
        <v>8</v>
      </c>
      <c r="I3" s="7">
        <f t="shared" ref="I3:I8" si="4">IF(MAX(G3-9,0) - 1 &lt; 0, 0, MAX(G3-9,0) - 1)</f>
        <v>2.533333333333335</v>
      </c>
      <c r="J3" s="7">
        <f t="shared" si="1"/>
        <v>222.16</v>
      </c>
      <c r="K3" s="7">
        <f t="shared" si="2"/>
        <v>84.420800000000057</v>
      </c>
      <c r="L3" s="7">
        <f t="shared" si="3"/>
        <v>306.58080000000007</v>
      </c>
    </row>
    <row r="4" spans="1:12">
      <c r="A4" t="s">
        <v>16</v>
      </c>
      <c r="B4" s="2" t="s">
        <v>20</v>
      </c>
      <c r="C4" s="30" t="s">
        <v>130</v>
      </c>
      <c r="D4" s="31" t="s">
        <v>153</v>
      </c>
      <c r="E4" s="31" t="s">
        <v>55</v>
      </c>
      <c r="F4">
        <v>27.77</v>
      </c>
      <c r="G4" s="25">
        <f t="shared" si="0"/>
        <v>11.100000000000001</v>
      </c>
      <c r="H4" s="25">
        <f>MIN(G4,8)</f>
        <v>8</v>
      </c>
      <c r="I4" s="7">
        <f t="shared" si="4"/>
        <v>1.1000000000000014</v>
      </c>
      <c r="J4" s="7">
        <f t="shared" si="1"/>
        <v>222.16</v>
      </c>
      <c r="K4" s="7">
        <f t="shared" si="2"/>
        <v>36.656400000000048</v>
      </c>
      <c r="L4" s="7">
        <f t="shared" si="3"/>
        <v>258.81640000000004</v>
      </c>
    </row>
    <row r="5" spans="1:12">
      <c r="A5" t="s">
        <v>16</v>
      </c>
      <c r="B5" s="2" t="s">
        <v>20</v>
      </c>
      <c r="C5" s="30" t="s">
        <v>131</v>
      </c>
      <c r="D5" s="31" t="s">
        <v>111</v>
      </c>
      <c r="E5" s="31" t="s">
        <v>55</v>
      </c>
      <c r="F5">
        <v>27.77</v>
      </c>
      <c r="G5" s="25">
        <f t="shared" si="0"/>
        <v>11.5</v>
      </c>
      <c r="H5" s="25">
        <f>MIN(G5,8)</f>
        <v>8</v>
      </c>
      <c r="I5" s="7">
        <f t="shared" si="4"/>
        <v>1.5</v>
      </c>
      <c r="J5" s="7">
        <f t="shared" si="1"/>
        <v>222.16</v>
      </c>
      <c r="K5" s="7">
        <f t="shared" si="2"/>
        <v>49.985999999999997</v>
      </c>
      <c r="L5" s="7">
        <f t="shared" si="3"/>
        <v>272.14600000000002</v>
      </c>
    </row>
    <row r="6" spans="1:12">
      <c r="A6" t="s">
        <v>16</v>
      </c>
      <c r="B6" s="2" t="s">
        <v>20</v>
      </c>
      <c r="C6" s="30" t="s">
        <v>134</v>
      </c>
      <c r="D6" s="31" t="s">
        <v>31</v>
      </c>
      <c r="E6" s="31" t="s">
        <v>55</v>
      </c>
      <c r="F6">
        <v>27.77</v>
      </c>
      <c r="G6" s="25">
        <f t="shared" si="0"/>
        <v>13.000000000000002</v>
      </c>
      <c r="H6" s="25">
        <f>MIN(G6,8)</f>
        <v>8</v>
      </c>
      <c r="I6" s="7">
        <f t="shared" si="4"/>
        <v>3.0000000000000018</v>
      </c>
      <c r="J6" s="7">
        <f t="shared" si="1"/>
        <v>222.16</v>
      </c>
      <c r="K6" s="7">
        <f t="shared" si="2"/>
        <v>99.972000000000051</v>
      </c>
      <c r="L6" s="7">
        <f t="shared" si="3"/>
        <v>322.13200000000006</v>
      </c>
    </row>
    <row r="7" spans="1:12">
      <c r="A7" t="s">
        <v>16</v>
      </c>
      <c r="B7" s="2" t="s">
        <v>20</v>
      </c>
      <c r="C7" s="30" t="s">
        <v>136</v>
      </c>
      <c r="D7" s="31" t="s">
        <v>32</v>
      </c>
      <c r="E7" s="31" t="s">
        <v>32</v>
      </c>
      <c r="F7">
        <v>27.77</v>
      </c>
      <c r="G7" s="7">
        <f t="shared" si="0"/>
        <v>0</v>
      </c>
      <c r="H7" s="7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16</v>
      </c>
      <c r="B8" s="2" t="s">
        <v>20</v>
      </c>
      <c r="C8" s="30" t="s">
        <v>137</v>
      </c>
      <c r="D8" s="31" t="s">
        <v>32</v>
      </c>
      <c r="E8" s="31" t="s">
        <v>32</v>
      </c>
      <c r="F8">
        <v>27.77</v>
      </c>
      <c r="G8" s="7">
        <f t="shared" si="0"/>
        <v>0</v>
      </c>
      <c r="H8" s="7">
        <f>MIN(G8,9)</f>
        <v>0</v>
      </c>
      <c r="I8" s="7">
        <f t="shared" si="4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C9" s="30" t="s">
        <v>138</v>
      </c>
      <c r="D9" s="31" t="s">
        <v>32</v>
      </c>
      <c r="E9" s="31" t="s">
        <v>32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888.64</v>
      </c>
      <c r="C15" s="8">
        <f>SUM(K2:K13)</f>
        <v>271.03520000000015</v>
      </c>
      <c r="D15" s="8">
        <f>SUM(L2:L13)</f>
        <v>1159.6752000000001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Aldrin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888.64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271.03520000000015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1159.6752000000001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1159.6752000000001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tabSelected="1" workbookViewId="0">
      <selection activeCell="D21" sqref="D21:E22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96</v>
      </c>
      <c r="C2" s="30" t="s">
        <v>124</v>
      </c>
      <c r="D2" s="30" t="s">
        <v>112</v>
      </c>
      <c r="E2" s="31" t="s">
        <v>55</v>
      </c>
      <c r="F2">
        <v>30</v>
      </c>
      <c r="G2">
        <f t="shared" ref="G2:G8" si="0">(E2-D2)*24</f>
        <v>13.5</v>
      </c>
      <c r="H2">
        <f>MIN(G2,9)</f>
        <v>9</v>
      </c>
      <c r="I2" s="7">
        <f>IF(MAX(G2-9,0) - 1 &lt; 0, 0, MAX(G2-9,0) - 1)</f>
        <v>3.5</v>
      </c>
      <c r="J2">
        <f t="shared" ref="J2:J8" si="1">H2*F2</f>
        <v>270</v>
      </c>
      <c r="K2">
        <f t="shared" ref="K2:K8" si="2">I2*F2*1.2</f>
        <v>126</v>
      </c>
      <c r="L2">
        <f t="shared" ref="L2:L8" si="3">J2+K2</f>
        <v>396</v>
      </c>
    </row>
    <row r="3" spans="1:12">
      <c r="A3" t="s">
        <v>34</v>
      </c>
      <c r="B3" s="2" t="s">
        <v>96</v>
      </c>
      <c r="C3" s="30" t="s">
        <v>127</v>
      </c>
      <c r="D3" s="31" t="s">
        <v>161</v>
      </c>
      <c r="E3" s="31" t="s">
        <v>55</v>
      </c>
      <c r="F3">
        <v>30</v>
      </c>
      <c r="G3">
        <f t="shared" si="0"/>
        <v>11.566666666666668</v>
      </c>
      <c r="H3">
        <f t="shared" ref="H3:H8" si="4">MIN(G3,9)</f>
        <v>9</v>
      </c>
      <c r="I3" s="7">
        <f t="shared" ref="I3:I8" si="5">IF(MAX(G3-9,0) - 1 &lt; 0, 0, MAX(G3-9,0) - 1)</f>
        <v>1.5666666666666682</v>
      </c>
      <c r="J3">
        <f t="shared" si="1"/>
        <v>270</v>
      </c>
      <c r="K3">
        <f t="shared" si="2"/>
        <v>56.400000000000048</v>
      </c>
      <c r="L3">
        <f t="shared" si="3"/>
        <v>326.40000000000003</v>
      </c>
    </row>
    <row r="4" spans="1:12">
      <c r="A4" t="s">
        <v>34</v>
      </c>
      <c r="B4" s="2" t="s">
        <v>96</v>
      </c>
      <c r="C4" s="30" t="s">
        <v>130</v>
      </c>
      <c r="D4" s="31" t="s">
        <v>63</v>
      </c>
      <c r="E4" s="31" t="s">
        <v>55</v>
      </c>
      <c r="F4">
        <v>30</v>
      </c>
      <c r="G4">
        <f t="shared" si="0"/>
        <v>12.5</v>
      </c>
      <c r="H4">
        <f t="shared" si="4"/>
        <v>9</v>
      </c>
      <c r="I4" s="7">
        <f t="shared" si="5"/>
        <v>2.5</v>
      </c>
      <c r="J4">
        <f t="shared" si="1"/>
        <v>270</v>
      </c>
      <c r="K4">
        <f t="shared" si="2"/>
        <v>90</v>
      </c>
      <c r="L4">
        <f t="shared" si="3"/>
        <v>360</v>
      </c>
    </row>
    <row r="5" spans="1:12">
      <c r="A5" t="s">
        <v>34</v>
      </c>
      <c r="B5" s="2" t="s">
        <v>96</v>
      </c>
      <c r="C5" s="30" t="s">
        <v>131</v>
      </c>
      <c r="D5" s="31" t="s">
        <v>32</v>
      </c>
      <c r="E5" s="31" t="s">
        <v>32</v>
      </c>
      <c r="F5">
        <v>30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34</v>
      </c>
      <c r="B6" s="2" t="s">
        <v>96</v>
      </c>
      <c r="C6" s="30" t="s">
        <v>134</v>
      </c>
      <c r="D6" s="31" t="s">
        <v>32</v>
      </c>
      <c r="E6" s="31" t="s">
        <v>32</v>
      </c>
      <c r="F6">
        <v>30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34</v>
      </c>
      <c r="B7" s="2" t="s">
        <v>96</v>
      </c>
      <c r="C7" s="30" t="s">
        <v>136</v>
      </c>
      <c r="D7" s="31" t="s">
        <v>32</v>
      </c>
      <c r="E7" s="31" t="s">
        <v>32</v>
      </c>
      <c r="F7">
        <v>30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34</v>
      </c>
      <c r="B8" s="2" t="s">
        <v>96</v>
      </c>
      <c r="C8" s="30" t="s">
        <v>137</v>
      </c>
      <c r="D8" s="31" t="s">
        <v>32</v>
      </c>
      <c r="E8" s="31" t="s">
        <v>32</v>
      </c>
      <c r="F8">
        <v>30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C9" s="30" t="s">
        <v>138</v>
      </c>
      <c r="D9" s="31" t="s">
        <v>32</v>
      </c>
      <c r="E9" s="31" t="s">
        <v>32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810</v>
      </c>
      <c r="C15" s="8">
        <f>SUM(K2:K13)</f>
        <v>272.40000000000003</v>
      </c>
      <c r="D15" s="8">
        <f>SUM(L2:L13)</f>
        <v>1082.4000000000001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46125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3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810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272.40000000000003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1082.4000000000001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1082.4000000000001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28" t="s">
        <v>63</v>
      </c>
      <c r="E2" s="23" t="s">
        <v>32</v>
      </c>
      <c r="G2" s="7"/>
      <c r="H2" s="7"/>
      <c r="I2" s="7"/>
      <c r="J2" s="7"/>
      <c r="K2" s="7"/>
      <c r="L2" s="27">
        <v>420</v>
      </c>
    </row>
    <row r="3" spans="1:12">
      <c r="A3" t="s">
        <v>74</v>
      </c>
      <c r="B3" s="2" t="s">
        <v>60</v>
      </c>
      <c r="C3" s="4" t="s">
        <v>66</v>
      </c>
      <c r="D3" s="28" t="s">
        <v>72</v>
      </c>
      <c r="E3" s="23" t="s">
        <v>32</v>
      </c>
      <c r="G3" s="7"/>
      <c r="H3" s="7"/>
      <c r="I3" s="7"/>
      <c r="J3" s="7"/>
      <c r="K3" s="7"/>
      <c r="L3" s="27">
        <v>520</v>
      </c>
    </row>
    <row r="4" spans="1:12">
      <c r="A4" t="s">
        <v>74</v>
      </c>
      <c r="B4" s="2" t="s">
        <v>60</v>
      </c>
      <c r="C4" s="4" t="s">
        <v>67</v>
      </c>
      <c r="D4" s="28" t="s">
        <v>75</v>
      </c>
      <c r="E4" s="23" t="s">
        <v>32</v>
      </c>
      <c r="G4" s="7"/>
      <c r="H4" s="7"/>
      <c r="I4" s="7"/>
      <c r="J4" s="7"/>
      <c r="K4" s="7"/>
      <c r="L4" s="27">
        <v>400</v>
      </c>
    </row>
    <row r="5" spans="1:12">
      <c r="A5" t="s">
        <v>74</v>
      </c>
      <c r="B5" s="2" t="s">
        <v>60</v>
      </c>
      <c r="C5" s="4" t="s">
        <v>68</v>
      </c>
      <c r="D5" s="28" t="s">
        <v>76</v>
      </c>
      <c r="E5" s="23" t="s">
        <v>32</v>
      </c>
      <c r="G5" s="7"/>
      <c r="H5" s="7"/>
      <c r="I5" s="7"/>
      <c r="J5" s="7"/>
      <c r="K5" s="7"/>
      <c r="L5" s="27">
        <v>400</v>
      </c>
    </row>
    <row r="6" spans="1:12">
      <c r="A6" t="s">
        <v>74</v>
      </c>
      <c r="B6" s="2" t="s">
        <v>60</v>
      </c>
      <c r="C6" s="4" t="s">
        <v>69</v>
      </c>
      <c r="D6" s="28" t="s">
        <v>77</v>
      </c>
      <c r="E6" s="23" t="s">
        <v>32</v>
      </c>
      <c r="G6" s="7"/>
      <c r="H6" s="7"/>
      <c r="I6" s="7"/>
      <c r="J6" s="7"/>
      <c r="K6" s="7"/>
      <c r="L6" s="27">
        <v>400</v>
      </c>
    </row>
    <row r="7" spans="1:12">
      <c r="A7" t="s">
        <v>74</v>
      </c>
      <c r="B7" s="26" t="s">
        <v>62</v>
      </c>
      <c r="C7" s="4" t="s">
        <v>70</v>
      </c>
      <c r="D7" s="28" t="s">
        <v>78</v>
      </c>
      <c r="E7" s="23" t="s">
        <v>32</v>
      </c>
      <c r="G7" s="7"/>
      <c r="H7" s="7"/>
      <c r="I7" s="7"/>
      <c r="J7" s="7"/>
      <c r="K7" s="7"/>
      <c r="L7" s="27">
        <v>430</v>
      </c>
    </row>
    <row r="8" spans="1:12">
      <c r="A8" t="s">
        <v>74</v>
      </c>
      <c r="B8" s="26" t="s">
        <v>62</v>
      </c>
      <c r="C8" s="4" t="s">
        <v>71</v>
      </c>
      <c r="D8" s="28" t="s">
        <v>32</v>
      </c>
      <c r="E8" s="23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0" t="s">
        <v>104</v>
      </c>
      <c r="D2" s="5" t="s">
        <v>31</v>
      </c>
      <c r="E2" s="5" t="s">
        <v>97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0" t="s">
        <v>98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0" t="s">
        <v>99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0" t="s">
        <v>100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0" t="s">
        <v>101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0" t="s">
        <v>102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0" t="s">
        <v>103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9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3" t="s">
        <v>32</v>
      </c>
      <c r="E2" s="23" t="s">
        <v>32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59</v>
      </c>
      <c r="B3" s="2" t="s">
        <v>60</v>
      </c>
      <c r="C3" s="4" t="s">
        <v>82</v>
      </c>
      <c r="D3" s="23" t="s">
        <v>32</v>
      </c>
      <c r="E3" s="23" t="s">
        <v>32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59</v>
      </c>
      <c r="B4" s="2" t="s">
        <v>60</v>
      </c>
      <c r="C4" s="4" t="s">
        <v>83</v>
      </c>
      <c r="D4" s="23" t="s">
        <v>61</v>
      </c>
      <c r="E4" s="23" t="s">
        <v>58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3" t="s">
        <v>61</v>
      </c>
      <c r="E5" s="23" t="s">
        <v>58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3" t="s">
        <v>61</v>
      </c>
      <c r="E6" s="23" t="s">
        <v>58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59</v>
      </c>
      <c r="B7" s="26" t="s">
        <v>62</v>
      </c>
      <c r="C7" s="4" t="s">
        <v>86</v>
      </c>
      <c r="D7" s="23" t="s">
        <v>87</v>
      </c>
      <c r="E7" s="23" t="s">
        <v>58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59</v>
      </c>
      <c r="B8" s="26" t="s">
        <v>62</v>
      </c>
      <c r="C8" s="4" t="s">
        <v>88</v>
      </c>
      <c r="D8" s="23" t="s">
        <v>89</v>
      </c>
      <c r="E8" s="23" t="s">
        <v>58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Apr-06 to Apr-13,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3" t="s">
        <v>40</v>
      </c>
      <c r="B23" s="33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Kent</vt:lpstr>
      <vt:lpstr>Jay Anne</vt:lpstr>
      <vt:lpstr>Kris</vt:lpstr>
      <vt:lpstr>Cherry</vt:lpstr>
      <vt:lpstr>Ruela</vt:lpstr>
      <vt:lpstr>Aldrin</vt:lpstr>
      <vt:lpstr>Mark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2026-03-16T11:02:50Z</cp:lastPrinted>
  <dcterms:created xsi:type="dcterms:W3CDTF">2025-12-15T10:27:30Z</dcterms:created>
  <dcterms:modified xsi:type="dcterms:W3CDTF">2026-04-13T11:31:20Z</dcterms:modified>
</cp:coreProperties>
</file>