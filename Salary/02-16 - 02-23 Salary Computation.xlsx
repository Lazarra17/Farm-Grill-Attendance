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F5BE643C-747F-4365-B3BA-48D3BD1EA05E}" xr6:coauthVersionLast="47" xr6:coauthVersionMax="47" xr10:uidLastSave="{00000000-0000-0000-0000-000000000000}"/>
  <bookViews>
    <workbookView xWindow="28680" yWindow="-120" windowWidth="29040" windowHeight="15720" firstSheet="1" activeTab="2" xr2:uid="{00BF821E-BFB9-4523-9564-A672F7161683}"/>
  </bookViews>
  <sheets>
    <sheet name="Payslip" sheetId="15" r:id="rId1"/>
    <sheet name="Summary" sheetId="17" r:id="rId2"/>
    <sheet name="Jay Anne" sheetId="3" r:id="rId3"/>
    <sheet name="Kris" sheetId="2" r:id="rId4"/>
    <sheet name="Christian" sheetId="6" r:id="rId5"/>
    <sheet name="Cherry" sheetId="5" r:id="rId6"/>
    <sheet name="Aldrin" sheetId="7" r:id="rId7"/>
    <sheet name="Mark" sheetId="11" r:id="rId8"/>
    <sheet name="Chadiyah" sheetId="1" r:id="rId9"/>
    <sheet name="Lenard" sheetId="16" r:id="rId10"/>
    <sheet name="Rhea Mae" sheetId="4" r:id="rId11"/>
    <sheet name="David" sheetId="18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1" l="1"/>
  <c r="K8" i="1" l="1"/>
  <c r="K3" i="1"/>
  <c r="K4" i="1"/>
  <c r="K5" i="1"/>
  <c r="K6" i="1"/>
  <c r="K7" i="1"/>
  <c r="E85" i="15"/>
  <c r="D85" i="15"/>
  <c r="E84" i="15"/>
  <c r="E86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B26" i="18"/>
  <c r="B24" i="18"/>
  <c r="B27" i="16"/>
  <c r="B86" i="15" s="1"/>
  <c r="B27" i="1"/>
  <c r="B27" i="11"/>
  <c r="B27" i="7"/>
  <c r="B27" i="5"/>
  <c r="B27" i="6"/>
  <c r="B27" i="2"/>
  <c r="B27" i="3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E66" i="15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E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G5" i="1"/>
  <c r="I5" i="1" s="1"/>
  <c r="G4" i="1"/>
  <c r="I4" i="1" s="1"/>
  <c r="G3" i="1"/>
  <c r="I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G8" i="5"/>
  <c r="I8" i="5" s="1"/>
  <c r="G7" i="5"/>
  <c r="I7" i="5" s="1"/>
  <c r="G6" i="5"/>
  <c r="I6" i="5" s="1"/>
  <c r="G5" i="5"/>
  <c r="I5" i="5" s="1"/>
  <c r="G4" i="5"/>
  <c r="I4" i="5" s="1"/>
  <c r="G3" i="5"/>
  <c r="I3" i="5" s="1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E79" i="15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5" i="15" l="1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<sst xmlns="http://schemas.openxmlformats.org/spreadsheetml/2006/main" count="1143" uniqueCount="149">
  <si>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</si>
  <si>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</si>
  <si>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</si>
  <si>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</si>
  <si>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</si>
  <si>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</si>
  <si>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</si>
  <si>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</si>
  <si>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</si>
  <si>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</si>
  <si>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</si>
  <si>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</si>
  <si>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</si>
  <si>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</si>
  <si>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</si>
  <si>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</si>
  <si>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</si>
  <si>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</si>
  <si>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</si>
  <si>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</si>
  <si>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</si>
  <si>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</si>
  <si>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</si>
  <si>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</si>
  <si>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</si>
  <si>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</si>
  <si>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</si>
  <si>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</si>
  <si>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</si>
  <si>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</si>
  <si>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</si>
  <si>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10:00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</si>
  <si>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</si>
  <si>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</si>
  <si>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</si>
  <si>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</si>
  <si>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</si>
  <si>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</si>
  <si>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</si>
  <si>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</si>
  <si>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</si>
  <si>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</si>
  <si>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</si>
  <si>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</si>
  <si>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</si>
  <si>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</si>
  <si>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</si>
  <si>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</si>
  <si>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</si>
  <si>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</si>
  <si>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</si>
  <si>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</si>
  <si>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</si>
  <si>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</si>
  <si>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</si>
  <si>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</si>
  <si>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</si>
  <si>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</si>
  <si>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</si>
  <si>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</si>
  <si>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</si>
  <si>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20:30</t>
  </si>
  <si>
    <t>Lenard</t>
  </si>
  <si>
    <t>5:00PM-10:00PM</t>
  </si>
  <si>
    <t>17:00</t>
  </si>
  <si>
    <t>9:30AM-10:00PM</t>
  </si>
  <si>
    <t>09:00</t>
  </si>
  <si>
    <t>18:00</t>
  </si>
  <si>
    <t>Days Worked</t>
  </si>
  <si>
    <t>2026-02-09</t>
  </si>
  <si>
    <t>08:32</t>
  </si>
  <si>
    <t>2026-02-10</t>
  </si>
  <si>
    <t>2026-02-11</t>
  </si>
  <si>
    <t>2026-02-12</t>
  </si>
  <si>
    <t>2026-02-13</t>
  </si>
  <si>
    <t>2026-02-14</t>
  </si>
  <si>
    <t>08:31</t>
  </si>
  <si>
    <t>2026-02-15</t>
  </si>
  <si>
    <t>09:01</t>
  </si>
  <si>
    <t>08:34</t>
  </si>
  <si>
    <t>16:00</t>
  </si>
  <si>
    <t>Feb-9 to Feb-15, 2026</t>
  </si>
  <si>
    <t>David</t>
  </si>
  <si>
    <t>09:02</t>
  </si>
  <si>
    <t>09:03</t>
  </si>
  <si>
    <t>09:04</t>
  </si>
  <si>
    <t>09:05</t>
  </si>
  <si>
    <t>lenard lagrimas</t>
  </si>
  <si>
    <t>Not Set1</t>
  </si>
  <si>
    <t>2026-02-16</t>
  </si>
  <si>
    <t>Missed</t>
  </si>
  <si>
    <t>2026-02-17</t>
  </si>
  <si>
    <t>2026-02-18</t>
  </si>
  <si>
    <t>21:47</t>
  </si>
  <si>
    <t>2026-02-19</t>
  </si>
  <si>
    <t>16:21</t>
  </si>
  <si>
    <t>2026-02-20</t>
  </si>
  <si>
    <t>16:23</t>
  </si>
  <si>
    <t>2026-02-21</t>
  </si>
  <si>
    <t>08:57</t>
  </si>
  <si>
    <t>21:09</t>
  </si>
  <si>
    <t>2026-02-22</t>
  </si>
  <si>
    <t>12:23</t>
  </si>
  <si>
    <t>21:11</t>
  </si>
  <si>
    <t>jay ann</t>
  </si>
  <si>
    <t>09:15</t>
  </si>
  <si>
    <t>21:01</t>
  </si>
  <si>
    <t>09:37</t>
  </si>
  <si>
    <t>21:15</t>
  </si>
  <si>
    <t>09:45</t>
  </si>
  <si>
    <t>21:13</t>
  </si>
  <si>
    <t>09:51</t>
  </si>
  <si>
    <t>21:16</t>
  </si>
  <si>
    <t>10:04</t>
  </si>
  <si>
    <t>21:10</t>
  </si>
  <si>
    <t>kris</t>
  </si>
  <si>
    <t>08:29</t>
  </si>
  <si>
    <t>21:55</t>
  </si>
  <si>
    <t>10:11</t>
  </si>
  <si>
    <t>21:29</t>
  </si>
  <si>
    <t>08:20</t>
  </si>
  <si>
    <t>21:19</t>
  </si>
  <si>
    <t>08:44</t>
  </si>
  <si>
    <t>21:43</t>
  </si>
  <si>
    <t>christian</t>
  </si>
  <si>
    <t>21:45</t>
  </si>
  <si>
    <t>21:25</t>
  </si>
  <si>
    <t>08:37</t>
  </si>
  <si>
    <t>08:58</t>
  </si>
  <si>
    <t>cherry</t>
  </si>
  <si>
    <t>22:06</t>
  </si>
  <si>
    <t>08:27</t>
  </si>
  <si>
    <t>21:49</t>
  </si>
  <si>
    <t>aldrin</t>
  </si>
  <si>
    <t>09:57</t>
  </si>
  <si>
    <t>21:51</t>
  </si>
  <si>
    <t>david</t>
  </si>
  <si>
    <t>09:10</t>
  </si>
  <si>
    <t>20:53</t>
  </si>
  <si>
    <t>09:12</t>
  </si>
  <si>
    <t>20:58</t>
  </si>
  <si>
    <t>09:11</t>
  </si>
  <si>
    <t>09:17</t>
  </si>
  <si>
    <t>21:02</t>
  </si>
  <si>
    <t>mark agire</t>
  </si>
  <si>
    <t>21:00.</t>
  </si>
  <si>
    <t>9:00AM-9:00PM</t>
  </si>
  <si>
    <t>19:00</t>
  </si>
  <si>
    <t>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</si>
</sst>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16" zoomScale="130" zoomScaleNormal="100" zoomScaleSheetLayoutView="130" workbookViewId="0">
      <selection activeCell="B94" sqref="B94"/>
    </sheetView>
  </sheetViews>
  <sheetFormatPr defaultRowHeight="14.4" x14ac:dyDescent="0.3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 x14ac:dyDescent="0.3">
      <c r="A1" s="32" t="s">
        <v>42</v>
      </c>
      <c r="B1" s="32"/>
      <c r="D1" s="32" t="s">
        <v>42</v>
      </c>
      <c r="E1" s="32"/>
    </row>
    <row r="2" spans="1:5" x14ac:dyDescent="0.3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 x14ac:dyDescent="0.3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 x14ac:dyDescent="0.3">
      <c r="A4" s="20" t="str">
        <f>'Rhea Mae'!A26</f>
        <v>Payment Date:</v>
      </c>
      <c r="B4" s="21">
        <f>'Rhea Mae'!B26</f>
        <v>46069</v>
      </c>
      <c r="C4" s="7"/>
      <c r="D4" s="20" t="str">
        <f>'Jay Anne'!A26</f>
        <v>Payment Date:</v>
      </c>
      <c r="E4" s="21">
        <f>'Jay Anne'!B26</f>
        <v>46076</v>
      </c>
    </row>
    <row r="5" spans="1:5" x14ac:dyDescent="0.3">
      <c r="A5" s="20" t="str">
        <f>'Rhea Mae'!A27</f>
        <v>Cut Off Period:</v>
      </c>
      <c r="B5" s="20" t="str">
        <f>'Rhea Mae'!B27</f>
        <v>Feb-9 to Feb-15, 2026</v>
      </c>
      <c r="C5" s="7"/>
      <c r="D5" s="20" t="str">
        <f>'Jay Anne'!A27</f>
        <v>Cut Off Period:</v>
      </c>
      <c r="E5" s="20" t="str">
        <f>'Jay Anne'!B27</f>
        <v>Feb-9 to Feb-15, 2026</v>
      </c>
    </row>
    <row r="6" spans="1:5" x14ac:dyDescent="0.3">
      <c r="A6" s="20" t="str">
        <f>'Rhea Mae'!A28</f>
        <v>Days Worked</v>
      </c>
      <c r="B6" s="20">
        <f>'Rhea Mae'!B28</f>
        <v>5</v>
      </c>
      <c r="C6" s="7"/>
      <c r="D6" s="20" t="str">
        <f>'Jay Anne'!A28</f>
        <v>Days Worked</v>
      </c>
      <c r="E6" s="20">
        <f>'Jay Anne'!B28</f>
        <v>5</v>
      </c>
    </row>
    <row r="7" spans="1:5" x14ac:dyDescent="0.3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 x14ac:dyDescent="0.3">
      <c r="A8" s="20" t="str">
        <f>'Rhea Mae'!A30</f>
        <v>Basic Pay</v>
      </c>
      <c r="B8" s="14">
        <f>'Rhea Mae'!B30</f>
        <v>1730.6999999999998</v>
      </c>
      <c r="C8" s="7"/>
      <c r="D8" s="20" t="str">
        <f>'Jay Anne'!A30</f>
        <v>Basic Pay</v>
      </c>
      <c r="E8" s="14">
        <f>'Jay Anne'!B30</f>
        <v>1345.95</v>
      </c>
    </row>
    <row r="9" spans="1:5" x14ac:dyDescent="0.3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 x14ac:dyDescent="0.3">
      <c r="A10" s="20" t="str">
        <f>'Rhea Mae'!A32</f>
        <v>Overtime Pay</v>
      </c>
      <c r="B10" s="14">
        <f>'Rhea Mae'!B32</f>
        <v>759.20040000000006</v>
      </c>
      <c r="C10" s="7"/>
      <c r="D10" s="20" t="str">
        <f>'Jay Anne'!A32</f>
        <v>Overtime Pay</v>
      </c>
      <c r="E10" s="14">
        <f>'Jay Anne'!B32</f>
        <v>236.28900000000002</v>
      </c>
    </row>
    <row r="11" spans="1:5" x14ac:dyDescent="0.3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 x14ac:dyDescent="0.3">
      <c r="A12" s="20"/>
      <c r="B12" s="14"/>
      <c r="C12" s="7"/>
      <c r="D12" s="20"/>
      <c r="E12" s="14"/>
    </row>
    <row r="13" spans="1:5" x14ac:dyDescent="0.3">
      <c r="A13" s="20"/>
      <c r="B13" s="14"/>
      <c r="C13" s="7"/>
      <c r="D13" s="20"/>
      <c r="E13" s="14"/>
    </row>
    <row r="14" spans="1:5" x14ac:dyDescent="0.3">
      <c r="A14" s="23" t="str">
        <f>'Rhea Mae'!A36</f>
        <v>Gross Pay</v>
      </c>
      <c r="B14" s="14">
        <f>'Rhea Mae'!B36</f>
        <v>2489.9004</v>
      </c>
      <c r="C14" s="7"/>
      <c r="D14" s="23" t="str">
        <f>'Jay Anne'!A36</f>
        <v>Gross Pay</v>
      </c>
      <c r="E14" s="14">
        <f>'Jay Anne'!B36</f>
        <v>1582.239</v>
      </c>
    </row>
    <row r="15" spans="1:5" x14ac:dyDescent="0.3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 x14ac:dyDescent="0.3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 x14ac:dyDescent="0.3">
      <c r="A17" s="20"/>
      <c r="B17" s="14"/>
      <c r="C17" s="7"/>
      <c r="D17" s="20"/>
      <c r="E17" s="14"/>
    </row>
    <row r="18" spans="1:5" x14ac:dyDescent="0.3">
      <c r="A18" s="22" t="str">
        <f>'Rhea Mae'!A40</f>
        <v>Net Pay</v>
      </c>
      <c r="B18" s="14">
        <f>'Rhea Mae'!B40</f>
        <v>2489.9004</v>
      </c>
      <c r="C18" s="7"/>
      <c r="D18" s="22" t="str">
        <f>'Jay Anne'!A40</f>
        <v>Net Pay</v>
      </c>
      <c r="E18" s="14">
        <f>'Jay Anne'!B40</f>
        <v>1582.239</v>
      </c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ht="17.399999999999999" x14ac:dyDescent="0.3">
      <c r="A21" s="32" t="s">
        <v>42</v>
      </c>
      <c r="B21" s="32"/>
      <c r="D21" s="32" t="s">
        <v>42</v>
      </c>
      <c r="E21" s="32"/>
    </row>
    <row r="22" spans="1:5" x14ac:dyDescent="0.3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 x14ac:dyDescent="0.3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 x14ac:dyDescent="0.3">
      <c r="A24" s="20" t="str">
        <f>Kris!A26</f>
        <v>Payment Date:</v>
      </c>
      <c r="B24" s="21">
        <f>Kris!B26</f>
        <v>46076</v>
      </c>
      <c r="C24" s="7"/>
      <c r="D24" s="20" t="str">
        <f>Christian!A26</f>
        <v>Payment Date:</v>
      </c>
      <c r="E24" s="21">
        <f>Christian!B26</f>
        <v>46076</v>
      </c>
    </row>
    <row r="25" spans="1:5" x14ac:dyDescent="0.3">
      <c r="A25" s="20" t="str">
        <f>Kris!A27</f>
        <v>Cut Off Period:</v>
      </c>
      <c r="B25" s="20" t="str">
        <f>Kris!B27</f>
        <v>Feb-9 to Feb-15, 2026</v>
      </c>
      <c r="C25" s="7"/>
      <c r="D25" s="20" t="str">
        <f>Christian!A27</f>
        <v>Cut Off Period:</v>
      </c>
      <c r="E25" s="20" t="str">
        <f>Christian!B27</f>
        <v>Feb-9 to Feb-15, 2026</v>
      </c>
    </row>
    <row r="26" spans="1:5" x14ac:dyDescent="0.3">
      <c r="A26" s="20" t="str">
        <f>Kris!A28</f>
        <v>Days Worked</v>
      </c>
      <c r="B26" s="20">
        <f>Kris!B28</f>
        <v>5</v>
      </c>
      <c r="C26" s="7"/>
      <c r="D26" s="20" t="str">
        <f>Christian!A28</f>
        <v>Days Worked</v>
      </c>
      <c r="E26" s="20">
        <f>Christian!B28</f>
        <v>5</v>
      </c>
    </row>
    <row r="27" spans="1:5" x14ac:dyDescent="0.3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 x14ac:dyDescent="0.3">
      <c r="A28" s="20" t="str">
        <f>Kris!A30</f>
        <v>Basic Pay</v>
      </c>
      <c r="B28" s="14">
        <f>Kris!B30</f>
        <v>1634.4</v>
      </c>
      <c r="C28" s="7"/>
      <c r="D28" s="20" t="str">
        <f>Christian!A30</f>
        <v>Basic Pay</v>
      </c>
      <c r="E28" s="14">
        <f>Christian!B30</f>
        <v>1634.4</v>
      </c>
    </row>
    <row r="29" spans="1:5" x14ac:dyDescent="0.3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 x14ac:dyDescent="0.3">
      <c r="A30" s="20" t="str">
        <f>Kris!A32</f>
        <v>Overtime Pay</v>
      </c>
      <c r="B30" s="14">
        <f>Kris!B32</f>
        <v>536.80960000000005</v>
      </c>
      <c r="C30" s="7"/>
      <c r="D30" s="20" t="str">
        <f>Christian!A32</f>
        <v>Overtime Pay</v>
      </c>
      <c r="E30" s="14">
        <f>Christian!B32</f>
        <v>524.46079999999972</v>
      </c>
    </row>
    <row r="31" spans="1:5" x14ac:dyDescent="0.3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 x14ac:dyDescent="0.3">
      <c r="A32" s="20"/>
      <c r="B32" s="14"/>
      <c r="C32" s="7"/>
      <c r="D32" s="20"/>
      <c r="E32" s="14"/>
    </row>
    <row r="33" spans="1:5" x14ac:dyDescent="0.3">
      <c r="A33" s="20"/>
      <c r="B33" s="14"/>
      <c r="C33" s="7"/>
      <c r="D33" s="20"/>
      <c r="E33" s="14"/>
    </row>
    <row r="34" spans="1:5" x14ac:dyDescent="0.3">
      <c r="A34" s="20" t="str">
        <f>Kris!A36</f>
        <v>Gross Pay</v>
      </c>
      <c r="B34" s="14">
        <f>Kris!B36</f>
        <v>2171.2096000000001</v>
      </c>
      <c r="C34" s="7"/>
      <c r="D34" s="23" t="str">
        <f>Christian!A36</f>
        <v>Gross Pay</v>
      </c>
      <c r="E34" s="14">
        <f>Christian!B36</f>
        <v>2158.8607999999995</v>
      </c>
    </row>
    <row r="35" spans="1:5" x14ac:dyDescent="0.3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 x14ac:dyDescent="0.3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 x14ac:dyDescent="0.3">
      <c r="A37" s="20"/>
      <c r="B37" s="14"/>
      <c r="C37" s="7"/>
      <c r="D37" s="20"/>
      <c r="E37" s="14"/>
    </row>
    <row r="38" spans="1:5" x14ac:dyDescent="0.3">
      <c r="A38" s="22" t="str">
        <f>Kris!A40</f>
        <v>Net Pay</v>
      </c>
      <c r="B38" s="14">
        <f>Kris!B40</f>
        <v>2171.2096000000001</v>
      </c>
      <c r="C38" s="7"/>
      <c r="D38" s="22" t="str">
        <f>Christian!A40</f>
        <v>Net Pay</v>
      </c>
      <c r="E38" s="14">
        <f>Christian!B40</f>
        <v>2158.8607999999995</v>
      </c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ht="17.399999999999999" x14ac:dyDescent="0.3">
      <c r="A42" s="32" t="s">
        <v>42</v>
      </c>
      <c r="B42" s="32"/>
      <c r="D42" s="32" t="s">
        <v>42</v>
      </c>
      <c r="E42" s="32"/>
    </row>
    <row r="43" spans="1:5" x14ac:dyDescent="0.3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 x14ac:dyDescent="0.3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 x14ac:dyDescent="0.3">
      <c r="A45" s="20" t="str">
        <f>Cherry!A26</f>
        <v>Payment Date:</v>
      </c>
      <c r="B45" s="21">
        <f>Cherry!B26</f>
        <v>46076</v>
      </c>
      <c r="C45" s="7"/>
      <c r="D45" s="20" t="str">
        <f>Aldrin!A26</f>
        <v>Payment Date:</v>
      </c>
      <c r="E45" s="21">
        <f>Aldrin!B26</f>
        <v>46076</v>
      </c>
    </row>
    <row r="46" spans="1:5" x14ac:dyDescent="0.3">
      <c r="A46" s="20" t="str">
        <f>Cherry!A27</f>
        <v>Cut Off Period:</v>
      </c>
      <c r="B46" s="20" t="str">
        <f>Cherry!B27</f>
        <v>Feb-9 to Feb-15, 2026</v>
      </c>
      <c r="C46" s="7"/>
      <c r="D46" s="20" t="str">
        <f>Aldrin!A27</f>
        <v>Cut Off Period:</v>
      </c>
      <c r="E46" s="20" t="str">
        <f>Aldrin!B27</f>
        <v>Feb-9 to Feb-15, 2026</v>
      </c>
    </row>
    <row r="47" spans="1:5" x14ac:dyDescent="0.3">
      <c r="A47" s="20" t="str">
        <f>Cherry!A28</f>
        <v>Days Worked</v>
      </c>
      <c r="B47" s="20">
        <f>Cherry!B28</f>
        <v>5</v>
      </c>
      <c r="C47" s="7"/>
      <c r="D47" s="20" t="str">
        <f>Aldrin!A28</f>
        <v>Days Worked</v>
      </c>
      <c r="E47" s="20">
        <f>Aldrin!B28</f>
        <v>5</v>
      </c>
    </row>
    <row r="48" spans="1:5" x14ac:dyDescent="0.3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 x14ac:dyDescent="0.3">
      <c r="A49" s="20" t="str">
        <f>Cherry!A30</f>
        <v>Basic Pay</v>
      </c>
      <c r="B49" s="14">
        <f>Cherry!B30</f>
        <v>1499.85</v>
      </c>
      <c r="C49" s="7"/>
      <c r="D49" s="20" t="str">
        <f>Aldrin!A30</f>
        <v>Basic Pay</v>
      </c>
      <c r="E49" s="14">
        <f>Aldrin!B30</f>
        <v>1138.57</v>
      </c>
    </row>
    <row r="50" spans="1:5" x14ac:dyDescent="0.3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 x14ac:dyDescent="0.3">
      <c r="A51" s="20" t="str">
        <f>Cherry!A32</f>
        <v>Overtime Pay</v>
      </c>
      <c r="B51" s="14">
        <f>Cherry!B32</f>
        <v>599.94000000000028</v>
      </c>
      <c r="C51" s="7"/>
      <c r="D51" s="20" t="str">
        <f>Aldrin!A32</f>
        <v>Overtime Pay</v>
      </c>
      <c r="E51" s="14">
        <f>Aldrin!B32</f>
        <v>166.62</v>
      </c>
    </row>
    <row r="52" spans="1:5" x14ac:dyDescent="0.3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 x14ac:dyDescent="0.3">
      <c r="A53" s="20"/>
      <c r="B53" s="14"/>
      <c r="C53" s="7"/>
      <c r="D53" s="20"/>
      <c r="E53" s="14"/>
    </row>
    <row r="54" spans="1:5" x14ac:dyDescent="0.3">
      <c r="A54" s="20"/>
      <c r="B54" s="14"/>
      <c r="C54" s="7"/>
      <c r="D54" s="20"/>
      <c r="E54" s="14"/>
    </row>
    <row r="55" spans="1:5" x14ac:dyDescent="0.3">
      <c r="A55" s="20" t="str">
        <f>Cherry!A36</f>
        <v>Gross Pay</v>
      </c>
      <c r="B55" s="14">
        <f>Cherry!B36</f>
        <v>2099.79</v>
      </c>
      <c r="C55" s="7"/>
      <c r="D55" s="20" t="str">
        <f>Aldrin!A36</f>
        <v>Gross Pay</v>
      </c>
      <c r="E55" s="14">
        <f>Aldrin!B36</f>
        <v>1305.19</v>
      </c>
    </row>
    <row r="56" spans="1:5" x14ac:dyDescent="0.3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 x14ac:dyDescent="0.3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 x14ac:dyDescent="0.3">
      <c r="A58" s="20"/>
      <c r="B58" s="14"/>
      <c r="C58" s="7"/>
      <c r="D58" s="20"/>
      <c r="E58" s="14"/>
    </row>
    <row r="59" spans="1:5" x14ac:dyDescent="0.3">
      <c r="A59" s="22" t="str">
        <f>Cherry!A40</f>
        <v>Net Pay</v>
      </c>
      <c r="B59" s="14">
        <f>Cherry!B40</f>
        <v>2099.79</v>
      </c>
      <c r="C59" s="7"/>
      <c r="D59" s="22" t="str">
        <f>Aldrin!A40</f>
        <v>Net Pay</v>
      </c>
      <c r="E59" s="14">
        <f>Aldrin!B40</f>
        <v>1305.19</v>
      </c>
    </row>
    <row r="60" spans="1:5" x14ac:dyDescent="0.3">
      <c r="A60" s="7"/>
      <c r="B60" s="7"/>
      <c r="C60" s="7"/>
      <c r="D60" s="7"/>
      <c r="E60" s="7"/>
    </row>
    <row r="62" spans="1:5" ht="17.399999999999999" x14ac:dyDescent="0.3">
      <c r="A62" s="32" t="s">
        <v>42</v>
      </c>
      <c r="B62" s="32"/>
      <c r="D62" s="32" t="s">
        <v>42</v>
      </c>
      <c r="E62" s="32"/>
    </row>
    <row r="63" spans="1:5" x14ac:dyDescent="0.3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 x14ac:dyDescent="0.3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 x14ac:dyDescent="0.3">
      <c r="A65" s="10" t="str">
        <f>Mark!A26</f>
        <v>Payment Date:</v>
      </c>
      <c r="B65" s="21">
        <f>Mark!B26</f>
        <v>46076</v>
      </c>
      <c r="D65" s="10" t="str">
        <f>Chadiyah!A26</f>
        <v>Payment Date:</v>
      </c>
      <c r="E65" s="21">
        <f>Chadiyah!B26</f>
        <v>46076</v>
      </c>
    </row>
    <row r="66" spans="1:5" x14ac:dyDescent="0.3">
      <c r="A66" s="10" t="str">
        <f>Mark!A27</f>
        <v>Cut Off Period:</v>
      </c>
      <c r="B66" s="10" t="str">
        <f>Mark!B27</f>
        <v>Feb-9 to Feb-15, 2026</v>
      </c>
      <c r="D66" s="10" t="str">
        <f>Chadiyah!A27</f>
        <v>Cut Off Period:</v>
      </c>
      <c r="E66" s="10" t="str">
        <f>Chadiyah!B27</f>
        <v>Feb-9 to Feb-15, 2026</v>
      </c>
    </row>
    <row r="67" spans="1:5" x14ac:dyDescent="0.3">
      <c r="A67" s="10" t="str">
        <f>Mark!A28</f>
        <v>Days Worked</v>
      </c>
      <c r="B67" s="10">
        <f>Mark!B28</f>
        <v>5</v>
      </c>
      <c r="D67" s="10" t="str">
        <f>Chadiyah!A28</f>
        <v>Days Worked</v>
      </c>
      <c r="E67" s="10">
        <f>Chadiyah!B28</f>
        <v>5</v>
      </c>
    </row>
    <row r="68" spans="1:5" x14ac:dyDescent="0.3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 x14ac:dyDescent="0.3">
      <c r="A69" s="10" t="str">
        <f>Mark!A30</f>
        <v>Basic Pay</v>
      </c>
      <c r="B69" s="14">
        <f>Mark!B30</f>
        <v>1207.9950000000001</v>
      </c>
      <c r="D69" s="10" t="str">
        <f>Chadiyah!A30</f>
        <v>Basic Pay</v>
      </c>
      <c r="E69" s="14">
        <f>Chadiyah!B30</f>
        <v>1486.83</v>
      </c>
    </row>
    <row r="70" spans="1:5" x14ac:dyDescent="0.3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 x14ac:dyDescent="0.3">
      <c r="A71" s="10" t="str">
        <f>Mark!A32</f>
        <v>Overtime Pay</v>
      </c>
      <c r="B71" s="14">
        <f>Mark!B32</f>
        <v>316.57799999999997</v>
      </c>
      <c r="D71" s="10" t="str">
        <f>Chadiyah!A32</f>
        <v>Overtime Pay</v>
      </c>
      <c r="E71" s="14">
        <f>Chadiyah!B32</f>
        <v>205.07999999999976</v>
      </c>
    </row>
    <row r="72" spans="1:5" x14ac:dyDescent="0.3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 x14ac:dyDescent="0.3">
      <c r="A73" s="10"/>
      <c r="B73" s="14"/>
      <c r="D73" s="10"/>
      <c r="E73" s="14"/>
    </row>
    <row r="74" spans="1:5" x14ac:dyDescent="0.3">
      <c r="A74" s="10"/>
      <c r="B74" s="14"/>
      <c r="D74" s="10"/>
      <c r="E74" s="14"/>
    </row>
    <row r="75" spans="1:5" x14ac:dyDescent="0.3">
      <c r="A75" s="10" t="str">
        <f>Mark!A36</f>
        <v>Gross Pay</v>
      </c>
      <c r="B75" s="14">
        <f>Mark!B36</f>
        <v>1524.5730000000001</v>
      </c>
      <c r="D75" s="10" t="str">
        <f>Chadiyah!A36</f>
        <v>Gross Pay</v>
      </c>
      <c r="E75" s="14">
        <f>Chadiyah!B36</f>
        <v>1691.9099999999999</v>
      </c>
    </row>
    <row r="76" spans="1:5" x14ac:dyDescent="0.3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 x14ac:dyDescent="0.3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 x14ac:dyDescent="0.3">
      <c r="A78" s="10"/>
      <c r="B78" s="14"/>
      <c r="D78" s="10"/>
      <c r="E78" s="14"/>
    </row>
    <row r="79" spans="1:5" x14ac:dyDescent="0.3">
      <c r="A79" s="13" t="str">
        <f>Mark!A40</f>
        <v>Net Pay</v>
      </c>
      <c r="B79" s="14">
        <f>Mark!B40</f>
        <v>1524.5730000000001</v>
      </c>
      <c r="D79" s="13" t="str">
        <f>Chadiyah!A40</f>
        <v>Net Pay</v>
      </c>
      <c r="E79" s="14">
        <f>Chadiyah!B40</f>
        <v>1691.9099999999999</v>
      </c>
    </row>
    <row r="82" spans="1:5" ht="17.399999999999999" x14ac:dyDescent="0.3">
      <c r="A82" s="32" t="s">
        <v>42</v>
      </c>
      <c r="B82" s="32"/>
      <c r="D82" s="32" t="s">
        <v>42</v>
      </c>
      <c r="E82" s="32"/>
    </row>
    <row r="83" spans="1:5" x14ac:dyDescent="0.3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 x14ac:dyDescent="0.3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 x14ac:dyDescent="0.3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 x14ac:dyDescent="0.3">
      <c r="A86" s="10" t="str">
        <f>Lenard!A27</f>
        <v>Cut Off Period:</v>
      </c>
      <c r="B86" s="10" t="str">
        <f>Lenard!B27</f>
        <v>Feb-9 to Feb-15, 2026</v>
      </c>
      <c r="D86" s="10" t="str">
        <f>David!A27</f>
        <v>Cut Off Period:</v>
      </c>
      <c r="E86" s="10" t="str">
        <f>David!B27</f>
        <v>Feb-9 to Feb-15, 2026</v>
      </c>
    </row>
    <row r="87" spans="1:5" x14ac:dyDescent="0.3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 x14ac:dyDescent="0.3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 x14ac:dyDescent="0.3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 x14ac:dyDescent="0.3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 x14ac:dyDescent="0.3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 x14ac:dyDescent="0.3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 x14ac:dyDescent="0.3">
      <c r="A93" s="10"/>
      <c r="B93" s="14"/>
      <c r="D93" s="10">
        <f>David!A34</f>
        <v>0</v>
      </c>
      <c r="E93" s="14"/>
    </row>
    <row r="94" spans="1:5" x14ac:dyDescent="0.3">
      <c r="A94" s="10"/>
      <c r="B94" s="14"/>
      <c r="D94" s="10"/>
      <c r="E94" s="14"/>
    </row>
    <row r="95" spans="1:5" x14ac:dyDescent="0.3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 x14ac:dyDescent="0.3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 x14ac:dyDescent="0.3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 x14ac:dyDescent="0.3">
      <c r="A98" s="10"/>
      <c r="B98" s="14"/>
      <c r="D98" s="10"/>
      <c r="E98" s="14"/>
    </row>
    <row r="99" spans="1:5" x14ac:dyDescent="0.3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F56"/>
  <sheetViews>
    <sheetView workbookViewId="0">
      <selection activeCell="D8" sqref="D8:D14"/>
    </sheetView>
  </sheetViews>
  <sheetFormatPr defaultRowHeight="14.4" x14ac:dyDescent="0.3"/>
  <cols>
    <col min="1" max="1" width="13.5546875" bestFit="1" customWidth="1"/>
    <col min="2" max="2" width="9" bestFit="1" customWidth="1"/>
  </cols>
  <sheetData>
    <row r="1" spans="1:6" x14ac:dyDescent="0.3">
      <c r="A1" s="24" t="s">
        <v>87</v>
      </c>
      <c r="B1" s="24" t="s">
        <v>88</v>
      </c>
      <c r="C1" s="4" t="s">
        <v>89</v>
      </c>
      <c r="D1" s="25" t="s">
        <v>90</v>
      </c>
      <c r="E1" s="25" t="s">
        <v>90</v>
      </c>
      <c r="F1" s="25" t="s">
        <v>90</v>
      </c>
    </row>
    <row r="2" spans="1:6" x14ac:dyDescent="0.3">
      <c r="A2" s="24" t="s">
        <v>87</v>
      </c>
      <c r="B2" s="24" t="s">
        <v>88</v>
      </c>
      <c r="C2" s="4" t="s">
        <v>91</v>
      </c>
      <c r="D2" s="25" t="s">
        <v>90</v>
      </c>
      <c r="E2" s="25" t="s">
        <v>90</v>
      </c>
      <c r="F2" s="25" t="s">
        <v>90</v>
      </c>
    </row>
    <row r="3" spans="1:6" x14ac:dyDescent="0.3">
      <c r="A3" s="24" t="s">
        <v>87</v>
      </c>
      <c r="B3" s="24" t="s">
        <v>88</v>
      </c>
      <c r="C3" s="4" t="s">
        <v>92</v>
      </c>
      <c r="D3" s="25" t="s">
        <v>90</v>
      </c>
      <c r="E3" s="25" t="s">
        <v>93</v>
      </c>
      <c r="F3" s="25" t="s">
        <v>90</v>
      </c>
    </row>
    <row r="4" spans="1:6" x14ac:dyDescent="0.3">
      <c r="A4" s="24" t="s">
        <v>87</v>
      </c>
      <c r="B4" s="24" t="s">
        <v>88</v>
      </c>
      <c r="C4" s="4" t="s">
        <v>94</v>
      </c>
      <c r="D4" s="25" t="s">
        <v>90</v>
      </c>
      <c r="E4" s="25" t="s">
        <v>95</v>
      </c>
      <c r="F4" s="25" t="s">
        <v>90</v>
      </c>
    </row>
    <row r="5" spans="1:6" x14ac:dyDescent="0.3">
      <c r="A5" s="24" t="s">
        <v>87</v>
      </c>
      <c r="B5" s="24" t="s">
        <v>88</v>
      </c>
      <c r="C5" s="4" t="s">
        <v>96</v>
      </c>
      <c r="D5" s="25" t="s">
        <v>90</v>
      </c>
      <c r="E5" s="25" t="s">
        <v>97</v>
      </c>
      <c r="F5" s="25" t="s">
        <v>90</v>
      </c>
    </row>
    <row r="6" spans="1:6" x14ac:dyDescent="0.3">
      <c r="A6" s="24" t="s">
        <v>87</v>
      </c>
      <c r="B6" s="24" t="s">
        <v>88</v>
      </c>
      <c r="C6" s="4" t="s">
        <v>98</v>
      </c>
      <c r="D6" s="25" t="s">
        <v>99</v>
      </c>
      <c r="E6" s="25" t="s">
        <v>100</v>
      </c>
      <c r="F6" s="25" t="s">
        <v>90</v>
      </c>
    </row>
    <row r="7" spans="1:6" x14ac:dyDescent="0.3">
      <c r="A7" s="24" t="s">
        <v>87</v>
      </c>
      <c r="B7" s="24" t="s">
        <v>88</v>
      </c>
      <c r="C7" s="4" t="s">
        <v>101</v>
      </c>
      <c r="D7" s="25" t="s">
        <v>102</v>
      </c>
      <c r="E7" s="25" t="s">
        <v>103</v>
      </c>
      <c r="F7" s="25" t="s">
        <v>90</v>
      </c>
    </row>
    <row r="8" spans="1:6" x14ac:dyDescent="0.3">
      <c r="A8" s="24" t="s">
        <v>104</v>
      </c>
      <c r="B8" s="24" t="s">
        <v>88</v>
      </c>
      <c r="C8" s="4" t="s">
        <v>89</v>
      </c>
      <c r="D8" s="25" t="s">
        <v>90</v>
      </c>
      <c r="E8" s="25" t="s">
        <v>90</v>
      </c>
      <c r="F8" s="25" t="s">
        <v>90</v>
      </c>
    </row>
    <row r="9" spans="1:6" x14ac:dyDescent="0.3">
      <c r="A9" s="24" t="s">
        <v>104</v>
      </c>
      <c r="B9" s="24" t="s">
        <v>88</v>
      </c>
      <c r="C9" s="4" t="s">
        <v>91</v>
      </c>
      <c r="D9" s="25" t="s">
        <v>105</v>
      </c>
      <c r="E9" s="25" t="s">
        <v>106</v>
      </c>
      <c r="F9" s="25" t="s">
        <v>90</v>
      </c>
    </row>
    <row r="10" spans="1:6" x14ac:dyDescent="0.3">
      <c r="A10" s="24" t="s">
        <v>104</v>
      </c>
      <c r="B10" s="24" t="s">
        <v>88</v>
      </c>
      <c r="C10" s="4" t="s">
        <v>92</v>
      </c>
      <c r="D10" s="25" t="s">
        <v>107</v>
      </c>
      <c r="E10" s="25" t="s">
        <v>108</v>
      </c>
      <c r="F10" s="25" t="s">
        <v>90</v>
      </c>
    </row>
    <row r="11" spans="1:6" x14ac:dyDescent="0.3">
      <c r="A11" s="24" t="s">
        <v>104</v>
      </c>
      <c r="B11" s="24" t="s">
        <v>88</v>
      </c>
      <c r="C11" s="4" t="s">
        <v>94</v>
      </c>
      <c r="D11" s="25" t="s">
        <v>109</v>
      </c>
      <c r="E11" s="25" t="s">
        <v>110</v>
      </c>
      <c r="F11" s="25" t="s">
        <v>90</v>
      </c>
    </row>
    <row r="12" spans="1:6" x14ac:dyDescent="0.3">
      <c r="A12" s="24" t="s">
        <v>104</v>
      </c>
      <c r="B12" s="24" t="s">
        <v>88</v>
      </c>
      <c r="C12" s="4" t="s">
        <v>96</v>
      </c>
      <c r="D12" s="25" t="s">
        <v>111</v>
      </c>
      <c r="E12" s="25" t="s">
        <v>112</v>
      </c>
      <c r="F12" s="25" t="s">
        <v>90</v>
      </c>
    </row>
    <row r="13" spans="1:6" x14ac:dyDescent="0.3">
      <c r="A13" s="24" t="s">
        <v>104</v>
      </c>
      <c r="B13" s="24" t="s">
        <v>88</v>
      </c>
      <c r="C13" s="4" t="s">
        <v>98</v>
      </c>
      <c r="D13" s="25" t="s">
        <v>113</v>
      </c>
      <c r="E13" s="25" t="s">
        <v>114</v>
      </c>
      <c r="F13" s="25" t="s">
        <v>90</v>
      </c>
    </row>
    <row r="14" spans="1:6" x14ac:dyDescent="0.3">
      <c r="A14" s="24" t="s">
        <v>104</v>
      </c>
      <c r="B14" s="24" t="s">
        <v>88</v>
      </c>
      <c r="C14" s="4" t="s">
        <v>101</v>
      </c>
      <c r="D14" s="25" t="s">
        <v>90</v>
      </c>
      <c r="E14" s="25" t="s">
        <v>90</v>
      </c>
      <c r="F14" s="25" t="s">
        <v>90</v>
      </c>
    </row>
    <row r="15" spans="1:6" x14ac:dyDescent="0.3">
      <c r="A15" s="24" t="s">
        <v>115</v>
      </c>
      <c r="B15" s="24" t="s">
        <v>88</v>
      </c>
      <c r="C15" s="4" t="s">
        <v>89</v>
      </c>
      <c r="D15" s="4" t="s">
        <v>116</v>
      </c>
      <c r="E15" s="25" t="s">
        <v>117</v>
      </c>
      <c r="F15" s="25" t="s">
        <v>90</v>
      </c>
    </row>
    <row r="16" spans="1:6" x14ac:dyDescent="0.3">
      <c r="A16" s="24" t="s">
        <v>115</v>
      </c>
      <c r="B16" s="24" t="s">
        <v>88</v>
      </c>
      <c r="C16" s="4" t="s">
        <v>91</v>
      </c>
      <c r="D16" s="25" t="s">
        <v>118</v>
      </c>
      <c r="E16" s="25" t="s">
        <v>119</v>
      </c>
      <c r="F16" s="25" t="s">
        <v>90</v>
      </c>
    </row>
    <row r="17" spans="1:6" x14ac:dyDescent="0.3">
      <c r="A17" s="24" t="s">
        <v>115</v>
      </c>
      <c r="B17" s="24" t="s">
        <v>88</v>
      </c>
      <c r="C17" s="4" t="s">
        <v>92</v>
      </c>
      <c r="D17" s="25" t="s">
        <v>90</v>
      </c>
      <c r="E17" s="25" t="s">
        <v>90</v>
      </c>
      <c r="F17" s="25" t="s">
        <v>90</v>
      </c>
    </row>
    <row r="18" spans="1:6" x14ac:dyDescent="0.3">
      <c r="A18" s="24" t="s">
        <v>115</v>
      </c>
      <c r="B18" s="24" t="s">
        <v>88</v>
      </c>
      <c r="C18" s="4" t="s">
        <v>94</v>
      </c>
      <c r="D18" s="4" t="s">
        <v>120</v>
      </c>
      <c r="E18" s="25" t="s">
        <v>121</v>
      </c>
      <c r="F18" s="25" t="s">
        <v>90</v>
      </c>
    </row>
    <row r="19" spans="1:6" x14ac:dyDescent="0.3">
      <c r="A19" s="24" t="s">
        <v>115</v>
      </c>
      <c r="B19" s="24" t="s">
        <v>88</v>
      </c>
      <c r="C19" s="4" t="s">
        <v>96</v>
      </c>
      <c r="D19" s="25" t="s">
        <v>122</v>
      </c>
      <c r="E19" s="25" t="s">
        <v>123</v>
      </c>
      <c r="F19" s="25" t="s">
        <v>90</v>
      </c>
    </row>
    <row r="20" spans="1:6" x14ac:dyDescent="0.3">
      <c r="A20" s="24" t="s">
        <v>115</v>
      </c>
      <c r="B20" s="24" t="s">
        <v>88</v>
      </c>
      <c r="C20" s="4" t="s">
        <v>98</v>
      </c>
      <c r="D20" s="25" t="s">
        <v>90</v>
      </c>
      <c r="E20" s="25" t="s">
        <v>90</v>
      </c>
      <c r="F20" s="25" t="s">
        <v>90</v>
      </c>
    </row>
    <row r="21" spans="1:6" x14ac:dyDescent="0.3">
      <c r="A21" s="24" t="s">
        <v>115</v>
      </c>
      <c r="B21" s="24" t="s">
        <v>88</v>
      </c>
      <c r="C21" s="4" t="s">
        <v>101</v>
      </c>
      <c r="D21" s="25" t="s">
        <v>79</v>
      </c>
      <c r="E21" s="25" t="s">
        <v>103</v>
      </c>
      <c r="F21" s="25" t="s">
        <v>90</v>
      </c>
    </row>
    <row r="22" spans="1:6" x14ac:dyDescent="0.3">
      <c r="A22" s="24" t="s">
        <v>124</v>
      </c>
      <c r="B22" s="24" t="s">
        <v>88</v>
      </c>
      <c r="C22" s="4" t="s">
        <v>89</v>
      </c>
      <c r="D22" s="25" t="s">
        <v>90</v>
      </c>
      <c r="E22" s="25" t="s">
        <v>90</v>
      </c>
      <c r="F22" s="25" t="s">
        <v>90</v>
      </c>
    </row>
    <row r="23" spans="1:6" x14ac:dyDescent="0.3">
      <c r="A23" s="24" t="s">
        <v>124</v>
      </c>
      <c r="B23" s="24" t="s">
        <v>88</v>
      </c>
      <c r="C23" s="4" t="s">
        <v>91</v>
      </c>
      <c r="D23" s="25" t="s">
        <v>70</v>
      </c>
      <c r="E23" s="25" t="s">
        <v>119</v>
      </c>
      <c r="F23" s="25" t="s">
        <v>90</v>
      </c>
    </row>
    <row r="24" spans="1:6" x14ac:dyDescent="0.3">
      <c r="A24" s="24" t="s">
        <v>124</v>
      </c>
      <c r="B24" s="24" t="s">
        <v>88</v>
      </c>
      <c r="C24" s="4" t="s">
        <v>92</v>
      </c>
      <c r="D24" s="25" t="s">
        <v>76</v>
      </c>
      <c r="E24" s="25" t="s">
        <v>125</v>
      </c>
      <c r="F24" s="25" t="s">
        <v>90</v>
      </c>
    </row>
    <row r="25" spans="1:6" x14ac:dyDescent="0.3">
      <c r="A25" s="24" t="s">
        <v>124</v>
      </c>
      <c r="B25" s="24" t="s">
        <v>88</v>
      </c>
      <c r="C25" s="4" t="s">
        <v>94</v>
      </c>
      <c r="D25" s="4" t="s">
        <v>120</v>
      </c>
      <c r="E25" s="25" t="s">
        <v>126</v>
      </c>
      <c r="F25" s="25" t="s">
        <v>90</v>
      </c>
    </row>
    <row r="26" spans="1:6" x14ac:dyDescent="0.3">
      <c r="A26" s="24" t="s">
        <v>124</v>
      </c>
      <c r="B26" s="24" t="s">
        <v>88</v>
      </c>
      <c r="C26" s="4" t="s">
        <v>96</v>
      </c>
      <c r="D26" s="25" t="s">
        <v>127</v>
      </c>
      <c r="E26" s="25" t="s">
        <v>123</v>
      </c>
      <c r="F26" s="25" t="s">
        <v>90</v>
      </c>
    </row>
    <row r="27" spans="1:6" x14ac:dyDescent="0.3">
      <c r="A27" s="24" t="s">
        <v>124</v>
      </c>
      <c r="B27" s="24" t="s">
        <v>88</v>
      </c>
      <c r="C27" s="4" t="s">
        <v>98</v>
      </c>
      <c r="D27" s="25" t="s">
        <v>128</v>
      </c>
      <c r="E27" s="25" t="s">
        <v>90</v>
      </c>
      <c r="F27" s="25" t="s">
        <v>90</v>
      </c>
    </row>
    <row r="28" spans="1:6" x14ac:dyDescent="0.3">
      <c r="A28" s="24" t="s">
        <v>124</v>
      </c>
      <c r="B28" s="24" t="s">
        <v>88</v>
      </c>
      <c r="C28" s="4" t="s">
        <v>101</v>
      </c>
      <c r="D28" s="25" t="s">
        <v>90</v>
      </c>
      <c r="E28" s="25" t="s">
        <v>90</v>
      </c>
      <c r="F28" s="25" t="s">
        <v>90</v>
      </c>
    </row>
    <row r="29" spans="1:6" x14ac:dyDescent="0.3">
      <c r="A29" s="24" t="s">
        <v>129</v>
      </c>
      <c r="B29" s="24" t="s">
        <v>88</v>
      </c>
      <c r="C29" s="4" t="s">
        <v>89</v>
      </c>
      <c r="D29" s="4" t="s">
        <v>116</v>
      </c>
      <c r="E29" s="25" t="s">
        <v>130</v>
      </c>
      <c r="F29" s="25" t="s">
        <v>90</v>
      </c>
    </row>
    <row r="30" spans="1:6" x14ac:dyDescent="0.3">
      <c r="A30" s="24" t="s">
        <v>129</v>
      </c>
      <c r="B30" s="24" t="s">
        <v>88</v>
      </c>
      <c r="C30" s="4" t="s">
        <v>91</v>
      </c>
      <c r="D30" s="25" t="s">
        <v>70</v>
      </c>
      <c r="E30" s="25" t="s">
        <v>90</v>
      </c>
      <c r="F30" s="25" t="s">
        <v>90</v>
      </c>
    </row>
    <row r="31" spans="1:6" x14ac:dyDescent="0.3">
      <c r="A31" s="24" t="s">
        <v>129</v>
      </c>
      <c r="B31" s="24" t="s">
        <v>88</v>
      </c>
      <c r="C31" s="4" t="s">
        <v>92</v>
      </c>
      <c r="D31" s="4" t="s">
        <v>131</v>
      </c>
      <c r="E31" s="25" t="s">
        <v>125</v>
      </c>
      <c r="F31" s="25" t="s">
        <v>90</v>
      </c>
    </row>
    <row r="32" spans="1:6" x14ac:dyDescent="0.3">
      <c r="A32" s="24" t="s">
        <v>129</v>
      </c>
      <c r="B32" s="24" t="s">
        <v>88</v>
      </c>
      <c r="C32" s="4" t="s">
        <v>94</v>
      </c>
      <c r="D32" s="25" t="s">
        <v>90</v>
      </c>
      <c r="E32" s="25" t="s">
        <v>90</v>
      </c>
      <c r="F32" s="25" t="s">
        <v>90</v>
      </c>
    </row>
    <row r="33" spans="1:6" x14ac:dyDescent="0.3">
      <c r="A33" s="24" t="s">
        <v>129</v>
      </c>
      <c r="B33" s="24" t="s">
        <v>88</v>
      </c>
      <c r="C33" s="4" t="s">
        <v>96</v>
      </c>
      <c r="D33" s="25" t="s">
        <v>90</v>
      </c>
      <c r="E33" s="25" t="s">
        <v>90</v>
      </c>
      <c r="F33" s="25" t="s">
        <v>90</v>
      </c>
    </row>
    <row r="34" spans="1:6" x14ac:dyDescent="0.3">
      <c r="A34" s="24" t="s">
        <v>129</v>
      </c>
      <c r="B34" s="24" t="s">
        <v>88</v>
      </c>
      <c r="C34" s="4" t="s">
        <v>98</v>
      </c>
      <c r="D34" s="25" t="s">
        <v>79</v>
      </c>
      <c r="E34" s="25" t="s">
        <v>90</v>
      </c>
      <c r="F34" s="25" t="s">
        <v>90</v>
      </c>
    </row>
    <row r="35" spans="1:6" x14ac:dyDescent="0.3">
      <c r="A35" s="24" t="s">
        <v>129</v>
      </c>
      <c r="B35" s="24" t="s">
        <v>88</v>
      </c>
      <c r="C35" s="4" t="s">
        <v>101</v>
      </c>
      <c r="D35" s="25" t="s">
        <v>127</v>
      </c>
      <c r="E35" s="25" t="s">
        <v>132</v>
      </c>
      <c r="F35" s="25" t="s">
        <v>90</v>
      </c>
    </row>
    <row r="36" spans="1:6" x14ac:dyDescent="0.3">
      <c r="A36" s="24" t="s">
        <v>133</v>
      </c>
      <c r="B36" s="24" t="s">
        <v>88</v>
      </c>
      <c r="C36" s="4" t="s">
        <v>89</v>
      </c>
      <c r="D36" s="25" t="s">
        <v>134</v>
      </c>
      <c r="E36" s="25" t="s">
        <v>135</v>
      </c>
      <c r="F36" s="25" t="s">
        <v>90</v>
      </c>
    </row>
    <row r="37" spans="1:6" x14ac:dyDescent="0.3">
      <c r="A37" s="24" t="s">
        <v>133</v>
      </c>
      <c r="B37" s="24" t="s">
        <v>88</v>
      </c>
      <c r="C37" s="4" t="s">
        <v>91</v>
      </c>
      <c r="D37" s="25" t="s">
        <v>90</v>
      </c>
      <c r="E37" s="25" t="s">
        <v>90</v>
      </c>
      <c r="F37" s="25" t="s">
        <v>90</v>
      </c>
    </row>
    <row r="38" spans="1:6" x14ac:dyDescent="0.3">
      <c r="A38" s="24" t="s">
        <v>133</v>
      </c>
      <c r="B38" s="24" t="s">
        <v>88</v>
      </c>
      <c r="C38" s="4" t="s">
        <v>92</v>
      </c>
      <c r="D38" s="25" t="s">
        <v>90</v>
      </c>
      <c r="E38" s="25" t="s">
        <v>90</v>
      </c>
      <c r="F38" s="25" t="s">
        <v>90</v>
      </c>
    </row>
    <row r="39" spans="1:6" x14ac:dyDescent="0.3">
      <c r="A39" s="24" t="s">
        <v>133</v>
      </c>
      <c r="B39" s="24" t="s">
        <v>88</v>
      </c>
      <c r="C39" s="4" t="s">
        <v>94</v>
      </c>
      <c r="D39" s="25" t="s">
        <v>90</v>
      </c>
      <c r="E39" s="25" t="s">
        <v>90</v>
      </c>
      <c r="F39" s="25" t="s">
        <v>90</v>
      </c>
    </row>
    <row r="40" spans="1:6" x14ac:dyDescent="0.3">
      <c r="A40" s="24" t="s">
        <v>133</v>
      </c>
      <c r="B40" s="24" t="s">
        <v>88</v>
      </c>
      <c r="C40" s="4" t="s">
        <v>96</v>
      </c>
      <c r="D40" s="25" t="s">
        <v>90</v>
      </c>
      <c r="E40" s="25" t="s">
        <v>90</v>
      </c>
      <c r="F40" s="25" t="s">
        <v>90</v>
      </c>
    </row>
    <row r="41" spans="1:6" x14ac:dyDescent="0.3">
      <c r="A41" s="24" t="s">
        <v>133</v>
      </c>
      <c r="B41" s="24" t="s">
        <v>88</v>
      </c>
      <c r="C41" s="4" t="s">
        <v>98</v>
      </c>
      <c r="D41" s="25" t="s">
        <v>90</v>
      </c>
      <c r="E41" s="25" t="s">
        <v>90</v>
      </c>
      <c r="F41" s="25" t="s">
        <v>90</v>
      </c>
    </row>
    <row r="42" spans="1:6" x14ac:dyDescent="0.3">
      <c r="A42" s="24" t="s">
        <v>133</v>
      </c>
      <c r="B42" s="24" t="s">
        <v>88</v>
      </c>
      <c r="C42" s="4" t="s">
        <v>101</v>
      </c>
      <c r="D42" s="25" t="s">
        <v>90</v>
      </c>
      <c r="E42" s="25" t="s">
        <v>90</v>
      </c>
      <c r="F42" s="25" t="s">
        <v>90</v>
      </c>
    </row>
    <row r="43" spans="1:6" x14ac:dyDescent="0.3">
      <c r="A43" s="24" t="s">
        <v>136</v>
      </c>
      <c r="B43" s="24" t="s">
        <v>88</v>
      </c>
      <c r="C43" s="4" t="s">
        <v>89</v>
      </c>
      <c r="D43" s="25" t="s">
        <v>86</v>
      </c>
      <c r="E43" s="25" t="s">
        <v>135</v>
      </c>
      <c r="F43" s="25" t="s">
        <v>90</v>
      </c>
    </row>
    <row r="44" spans="1:6" x14ac:dyDescent="0.3">
      <c r="A44" s="24" t="s">
        <v>136</v>
      </c>
      <c r="B44" s="24" t="s">
        <v>88</v>
      </c>
      <c r="C44" s="4" t="s">
        <v>91</v>
      </c>
      <c r="D44" s="25" t="s">
        <v>137</v>
      </c>
      <c r="E44" s="25" t="s">
        <v>138</v>
      </c>
      <c r="F44" s="25" t="s">
        <v>90</v>
      </c>
    </row>
    <row r="45" spans="1:6" x14ac:dyDescent="0.3">
      <c r="A45" s="24" t="s">
        <v>136</v>
      </c>
      <c r="B45" s="24" t="s">
        <v>88</v>
      </c>
      <c r="C45" s="4" t="s">
        <v>92</v>
      </c>
      <c r="D45" s="25" t="s">
        <v>139</v>
      </c>
      <c r="E45" s="25" t="s">
        <v>140</v>
      </c>
      <c r="F45" s="25" t="s">
        <v>90</v>
      </c>
    </row>
    <row r="46" spans="1:6" x14ac:dyDescent="0.3">
      <c r="A46" s="24" t="s">
        <v>136</v>
      </c>
      <c r="B46" s="24" t="s">
        <v>88</v>
      </c>
      <c r="C46" s="4" t="s">
        <v>94</v>
      </c>
      <c r="D46" s="25" t="s">
        <v>141</v>
      </c>
      <c r="E46" s="25" t="s">
        <v>110</v>
      </c>
      <c r="F46" s="25" t="s">
        <v>90</v>
      </c>
    </row>
    <row r="47" spans="1:6" x14ac:dyDescent="0.3">
      <c r="A47" s="24" t="s">
        <v>136</v>
      </c>
      <c r="B47" s="24" t="s">
        <v>88</v>
      </c>
      <c r="C47" s="4" t="s">
        <v>96</v>
      </c>
      <c r="D47" s="25" t="s">
        <v>90</v>
      </c>
      <c r="E47" s="25" t="s">
        <v>90</v>
      </c>
      <c r="F47" s="25" t="s">
        <v>90</v>
      </c>
    </row>
    <row r="48" spans="1:6" x14ac:dyDescent="0.3">
      <c r="A48" s="24" t="s">
        <v>136</v>
      </c>
      <c r="B48" s="24" t="s">
        <v>88</v>
      </c>
      <c r="C48" s="4" t="s">
        <v>98</v>
      </c>
      <c r="D48" s="25" t="s">
        <v>142</v>
      </c>
      <c r="E48" s="25" t="s">
        <v>143</v>
      </c>
      <c r="F48" s="25" t="s">
        <v>90</v>
      </c>
    </row>
    <row r="49" spans="1:6" x14ac:dyDescent="0.3">
      <c r="A49" s="24" t="s">
        <v>136</v>
      </c>
      <c r="B49" s="24" t="s">
        <v>88</v>
      </c>
      <c r="C49" s="4" t="s">
        <v>101</v>
      </c>
      <c r="D49" s="25" t="s">
        <v>105</v>
      </c>
      <c r="E49" s="25" t="s">
        <v>90</v>
      </c>
      <c r="F49" s="25" t="s">
        <v>90</v>
      </c>
    </row>
    <row r="50" spans="1:6" x14ac:dyDescent="0.3">
      <c r="A50" s="24" t="s">
        <v>144</v>
      </c>
      <c r="B50" s="24" t="s">
        <v>88</v>
      </c>
      <c r="C50" s="4" t="s">
        <v>89</v>
      </c>
      <c r="D50" s="25" t="s">
        <v>90</v>
      </c>
      <c r="E50" s="25" t="s">
        <v>90</v>
      </c>
      <c r="F50" s="25" t="s">
        <v>90</v>
      </c>
    </row>
    <row r="51" spans="1:6" x14ac:dyDescent="0.3">
      <c r="A51" s="24" t="s">
        <v>144</v>
      </c>
      <c r="B51" s="24" t="s">
        <v>88</v>
      </c>
      <c r="C51" s="4" t="s">
        <v>91</v>
      </c>
      <c r="D51" s="25" t="s">
        <v>90</v>
      </c>
      <c r="E51" s="25" t="s">
        <v>90</v>
      </c>
      <c r="F51" s="25" t="s">
        <v>90</v>
      </c>
    </row>
    <row r="52" spans="1:6" x14ac:dyDescent="0.3">
      <c r="A52" s="24" t="s">
        <v>144</v>
      </c>
      <c r="B52" s="24" t="s">
        <v>88</v>
      </c>
      <c r="C52" s="4" t="s">
        <v>92</v>
      </c>
      <c r="D52" s="25" t="s">
        <v>90</v>
      </c>
      <c r="E52" s="25" t="s">
        <v>90</v>
      </c>
      <c r="F52" s="25" t="s">
        <v>90</v>
      </c>
    </row>
    <row r="53" spans="1:6" x14ac:dyDescent="0.3">
      <c r="A53" s="24" t="s">
        <v>144</v>
      </c>
      <c r="B53" s="24" t="s">
        <v>88</v>
      </c>
      <c r="C53" s="4" t="s">
        <v>94</v>
      </c>
      <c r="D53" s="25" t="s">
        <v>90</v>
      </c>
      <c r="E53" s="25" t="s">
        <v>90</v>
      </c>
      <c r="F53" s="25" t="s">
        <v>90</v>
      </c>
    </row>
    <row r="54" spans="1:6" x14ac:dyDescent="0.3">
      <c r="A54" s="24" t="s">
        <v>144</v>
      </c>
      <c r="B54" s="24" t="s">
        <v>88</v>
      </c>
      <c r="C54" s="4" t="s">
        <v>96</v>
      </c>
      <c r="D54" s="25" t="s">
        <v>90</v>
      </c>
      <c r="E54" s="25" t="s">
        <v>90</v>
      </c>
      <c r="F54" s="25" t="s">
        <v>90</v>
      </c>
    </row>
    <row r="55" spans="1:6" x14ac:dyDescent="0.3">
      <c r="A55" s="24" t="s">
        <v>144</v>
      </c>
      <c r="B55" s="24" t="s">
        <v>88</v>
      </c>
      <c r="C55" s="4" t="s">
        <v>98</v>
      </c>
      <c r="D55" s="25" t="s">
        <v>90</v>
      </c>
      <c r="E55" s="25" t="s">
        <v>90</v>
      </c>
      <c r="F55" s="25" t="s">
        <v>90</v>
      </c>
    </row>
    <row r="56" spans="1:6" x14ac:dyDescent="0.3">
      <c r="A56" s="24" t="s">
        <v>144</v>
      </c>
      <c r="B56" s="24" t="s">
        <v>88</v>
      </c>
      <c r="C56" s="4" t="s">
        <v>101</v>
      </c>
      <c r="D56" s="25" t="s">
        <v>90</v>
      </c>
      <c r="E56" s="25" t="s">
        <v>90</v>
      </c>
      <c r="F56" s="25" t="s">
        <v>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abSelected="1" workbookViewId="0">
      <selection activeCell="D8" sqref="D8"/>
    </sheetView>
  </sheetViews>
  <sheetFormatPr defaultColWidth="13.66406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</v>
      </c>
      <c r="B2" s="2" t="s">
        <v>21</v>
      </c>
      <c r="C2" s="4" t="s">
        <v>89</v>
      </c>
      <c r="D2" s="25" t="s">
        <v>34</v>
      </c>
      <c r="E2" s="25" t="s">
        <v>34</v>
      </c>
      <c r="F2">
        <v>29.91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12</v>
      </c>
      <c r="B3" s="2" t="s">
        <v>21</v>
      </c>
      <c r="C3" s="4" t="s">
        <v>91</v>
      </c>
      <c r="D3" s="25" t="s">
        <v>148</v>
      </c>
      <c r="E3" s="25" t="s">
        <v>145</v>
      </c>
      <c r="F3">
        <v>29.91</v>
      </c>
      <c r="G3">
        <f t="shared" si="0"/>
        <v>11.5</v>
      </c>
      <c r="H3">
        <f t="shared" ref="H3:H8" si="4">MIN(G3,9)</f>
        <v>9</v>
      </c>
      <c r="I3" s="7">
        <f t="shared" ref="I3:I8" si="5">IF(MAX(G3-9,0) - 1 &lt; 0, 0, MAX(G3-9,0) - 1)</f>
        <v>1.5</v>
      </c>
      <c r="J3">
        <f t="shared" si="1"/>
        <v>269.19</v>
      </c>
      <c r="K3">
        <f t="shared" si="2"/>
        <v>53.838000000000001</v>
      </c>
      <c r="L3">
        <f t="shared" si="3"/>
        <v>323.02800000000002</v>
      </c>
    </row>
    <row r="4" spans="1:12" x14ac:dyDescent="0.3">
      <c r="A4" t="s">
        <v>12</v>
      </c>
      <c r="B4" s="2" t="s">
        <v>21</v>
      </c>
      <c r="C4" s="4" t="s">
        <v>92</v>
      </c>
      <c r="D4" s="25" t="s">
        <v>148</v>
      </c>
      <c r="E4" s="25" t="s">
        <v>145</v>
      </c>
      <c r="F4">
        <v>29.91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269.19</v>
      </c>
      <c r="K4">
        <f t="shared" si="2"/>
        <v>53.838000000000001</v>
      </c>
      <c r="L4">
        <f t="shared" si="3"/>
        <v>323.02800000000002</v>
      </c>
    </row>
    <row r="5" spans="1:12" x14ac:dyDescent="0.3">
      <c r="A5" t="s">
        <v>12</v>
      </c>
      <c r="B5" s="2" t="s">
        <v>21</v>
      </c>
      <c r="C5" s="4" t="s">
        <v>94</v>
      </c>
      <c r="D5" s="25" t="s">
        <v>148</v>
      </c>
      <c r="E5" s="25" t="s">
        <v>145</v>
      </c>
      <c r="F5">
        <v>29.91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269.19</v>
      </c>
      <c r="K5">
        <f t="shared" si="2"/>
        <v>53.838000000000001</v>
      </c>
      <c r="L5">
        <f t="shared" si="3"/>
        <v>323.02800000000002</v>
      </c>
    </row>
    <row r="6" spans="1:12" x14ac:dyDescent="0.3">
      <c r="A6" t="s">
        <v>12</v>
      </c>
      <c r="B6" s="2" t="s">
        <v>21</v>
      </c>
      <c r="C6" s="4" t="s">
        <v>96</v>
      </c>
      <c r="D6" s="25" t="s">
        <v>111</v>
      </c>
      <c r="E6" s="25" t="s">
        <v>145</v>
      </c>
      <c r="F6">
        <v>29.91</v>
      </c>
      <c r="G6">
        <f t="shared" si="0"/>
        <v>11.15</v>
      </c>
      <c r="H6">
        <f t="shared" si="4"/>
        <v>9</v>
      </c>
      <c r="I6" s="7">
        <f t="shared" si="5"/>
        <v>1.1500000000000004</v>
      </c>
      <c r="J6">
        <f t="shared" si="1"/>
        <v>269.19</v>
      </c>
      <c r="K6">
        <f t="shared" si="2"/>
        <v>41.275800000000011</v>
      </c>
      <c r="L6">
        <f t="shared" si="3"/>
        <v>310.4658</v>
      </c>
    </row>
    <row r="7" spans="1:12" x14ac:dyDescent="0.3">
      <c r="A7" t="s">
        <v>12</v>
      </c>
      <c r="B7" s="2" t="s">
        <v>21</v>
      </c>
      <c r="C7" s="4" t="s">
        <v>98</v>
      </c>
      <c r="D7" s="25" t="s">
        <v>113</v>
      </c>
      <c r="E7" s="25" t="s">
        <v>145</v>
      </c>
      <c r="F7">
        <v>29.91</v>
      </c>
      <c r="G7">
        <f t="shared" si="0"/>
        <v>10.933333333333334</v>
      </c>
      <c r="H7">
        <f t="shared" si="4"/>
        <v>9</v>
      </c>
      <c r="I7" s="7">
        <f t="shared" si="5"/>
        <v>0.93333333333333357</v>
      </c>
      <c r="J7">
        <f t="shared" si="1"/>
        <v>269.19</v>
      </c>
      <c r="K7">
        <f t="shared" si="2"/>
        <v>33.499200000000009</v>
      </c>
      <c r="L7">
        <f t="shared" si="3"/>
        <v>302.68920000000003</v>
      </c>
    </row>
    <row r="8" spans="1:12" x14ac:dyDescent="0.3">
      <c r="A8" t="s">
        <v>12</v>
      </c>
      <c r="B8" s="2" t="s">
        <v>21</v>
      </c>
      <c r="C8" s="4" t="s">
        <v>101</v>
      </c>
      <c r="D8" s="25" t="s">
        <v>34</v>
      </c>
      <c r="E8" s="25" t="s">
        <v>34</v>
      </c>
      <c r="F8">
        <v>29.91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12</v>
      </c>
      <c r="B15" s="8">
        <f>SUM(J2:J13)</f>
        <v>1345.95</v>
      </c>
      <c r="C15" s="8">
        <f>SUM(K2:K13)</f>
        <v>236.28900000000002</v>
      </c>
      <c r="D15" s="8">
        <f>SUM(L2:L13)</f>
        <v>1582.239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Jay Anne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1345.95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236.28900000000002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1582.239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1582.239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10" workbookViewId="0">
      <selection activeCell="E8" sqref="E8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35</v>
      </c>
      <c r="B2" s="2" t="s">
        <v>20</v>
      </c>
      <c r="C2" s="4" t="s">
        <v>89</v>
      </c>
      <c r="D2" s="4" t="s">
        <v>33</v>
      </c>
      <c r="E2" s="25" t="s">
        <v>57</v>
      </c>
      <c r="F2">
        <v>36.32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326.88</v>
      </c>
      <c r="K2">
        <f t="shared" ref="K2:K8" si="2">I2*F2*1.2</f>
        <v>130.75200000000007</v>
      </c>
      <c r="L2">
        <f t="shared" ref="L2:L8" si="3">J2+K2</f>
        <v>457.63200000000006</v>
      </c>
    </row>
    <row r="3" spans="1:12" x14ac:dyDescent="0.3">
      <c r="A3" t="s">
        <v>35</v>
      </c>
      <c r="B3" s="2" t="s">
        <v>20</v>
      </c>
      <c r="C3" s="4" t="s">
        <v>91</v>
      </c>
      <c r="D3" s="25" t="s">
        <v>118</v>
      </c>
      <c r="E3" s="25" t="s">
        <v>57</v>
      </c>
      <c r="F3">
        <v>36.32</v>
      </c>
      <c r="G3">
        <f t="shared" si="0"/>
        <v>11.316666666666668</v>
      </c>
      <c r="H3">
        <f t="shared" ref="H3:H8" si="4">MIN(G3,9)</f>
        <v>9</v>
      </c>
      <c r="I3" s="7">
        <f t="shared" ref="I3:I8" si="5">IF(MAX(G3-9,0) - 1 &lt; 0, 0, MAX(G3-9,0) - 1)</f>
        <v>1.3166666666666682</v>
      </c>
      <c r="J3">
        <f t="shared" si="1"/>
        <v>326.88</v>
      </c>
      <c r="K3">
        <f t="shared" si="2"/>
        <v>57.385600000000068</v>
      </c>
      <c r="L3">
        <f t="shared" si="3"/>
        <v>384.26560000000006</v>
      </c>
    </row>
    <row r="4" spans="1:12" x14ac:dyDescent="0.3">
      <c r="A4" t="s">
        <v>35</v>
      </c>
      <c r="B4" s="2" t="s">
        <v>20</v>
      </c>
      <c r="C4" s="4" t="s">
        <v>92</v>
      </c>
      <c r="D4" s="25" t="s">
        <v>34</v>
      </c>
      <c r="E4" s="25" t="s">
        <v>34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35</v>
      </c>
      <c r="B5" s="2" t="s">
        <v>20</v>
      </c>
      <c r="C5" s="4" t="s">
        <v>94</v>
      </c>
      <c r="D5" s="4" t="s">
        <v>33</v>
      </c>
      <c r="E5" s="25" t="s">
        <v>60</v>
      </c>
      <c r="F5">
        <v>36.32</v>
      </c>
      <c r="G5">
        <f t="shared" si="0"/>
        <v>12.499999999999998</v>
      </c>
      <c r="H5">
        <f t="shared" si="4"/>
        <v>9</v>
      </c>
      <c r="I5" s="7">
        <f t="shared" si="5"/>
        <v>2.4999999999999982</v>
      </c>
      <c r="J5">
        <f t="shared" si="1"/>
        <v>326.88</v>
      </c>
      <c r="K5">
        <f t="shared" si="2"/>
        <v>108.95999999999992</v>
      </c>
      <c r="L5">
        <f t="shared" si="3"/>
        <v>435.83999999999992</v>
      </c>
    </row>
    <row r="6" spans="1:12" x14ac:dyDescent="0.3">
      <c r="A6" t="s">
        <v>35</v>
      </c>
      <c r="B6" s="2" t="s">
        <v>20</v>
      </c>
      <c r="C6" s="4" t="s">
        <v>96</v>
      </c>
      <c r="D6" s="4" t="s">
        <v>33</v>
      </c>
      <c r="E6" s="25" t="s">
        <v>57</v>
      </c>
      <c r="F6">
        <v>36.32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326.88</v>
      </c>
      <c r="K6">
        <f t="shared" si="2"/>
        <v>130.75200000000007</v>
      </c>
      <c r="L6">
        <f t="shared" si="3"/>
        <v>457.63200000000006</v>
      </c>
    </row>
    <row r="7" spans="1:12" x14ac:dyDescent="0.3">
      <c r="A7" t="s">
        <v>35</v>
      </c>
      <c r="B7" s="2" t="s">
        <v>20</v>
      </c>
      <c r="C7" s="4" t="s">
        <v>98</v>
      </c>
      <c r="D7" s="25" t="s">
        <v>34</v>
      </c>
      <c r="E7" s="25" t="s">
        <v>34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35</v>
      </c>
      <c r="B8" s="2" t="s">
        <v>20</v>
      </c>
      <c r="C8" s="4" t="s">
        <v>101</v>
      </c>
      <c r="D8" s="4" t="s">
        <v>33</v>
      </c>
      <c r="E8" s="25" t="s">
        <v>60</v>
      </c>
      <c r="F8">
        <v>36.32</v>
      </c>
      <c r="G8">
        <f t="shared" si="0"/>
        <v>12.499999999999998</v>
      </c>
      <c r="H8">
        <f t="shared" si="4"/>
        <v>9</v>
      </c>
      <c r="I8" s="7">
        <f t="shared" si="5"/>
        <v>2.4999999999999982</v>
      </c>
      <c r="J8">
        <f t="shared" si="1"/>
        <v>326.88</v>
      </c>
      <c r="K8">
        <f t="shared" si="2"/>
        <v>108.95999999999992</v>
      </c>
      <c r="L8">
        <f t="shared" si="3"/>
        <v>435.83999999999992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35</v>
      </c>
      <c r="B15" s="8">
        <f>SUM(J2:J13)</f>
        <v>1634.4</v>
      </c>
      <c r="C15" s="8">
        <f>SUM(K2:K13)</f>
        <v>536.80960000000005</v>
      </c>
      <c r="D15" s="8">
        <f>SUM(L2:L13)</f>
        <v>2171.2096000000001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Kris Naynayan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1634.4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536.80960000000005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2171.2096000000001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2171.2096000000001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13" workbookViewId="0">
      <selection activeCell="B41" sqref="B41"/>
    </sheetView>
  </sheetViews>
  <sheetFormatPr defaultColWidth="13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16</v>
      </c>
      <c r="B2" s="2" t="s">
        <v>20</v>
      </c>
      <c r="C2" s="4" t="s">
        <v>89</v>
      </c>
      <c r="D2" s="25" t="s">
        <v>34</v>
      </c>
      <c r="E2" s="25" t="s">
        <v>34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>I2*F2*1.2</f>
        <v>0</v>
      </c>
      <c r="L2">
        <f t="shared" ref="L2:L8" si="2">J2+K2</f>
        <v>0</v>
      </c>
    </row>
    <row r="3" spans="1:12" x14ac:dyDescent="0.3">
      <c r="A3" t="s">
        <v>16</v>
      </c>
      <c r="B3" s="2" t="s">
        <v>20</v>
      </c>
      <c r="C3" s="4" t="s">
        <v>91</v>
      </c>
      <c r="D3" s="25" t="s">
        <v>33</v>
      </c>
      <c r="E3" s="25" t="s">
        <v>60</v>
      </c>
      <c r="F3">
        <v>36.32</v>
      </c>
      <c r="G3">
        <f t="shared" si="0"/>
        <v>12.499999999999998</v>
      </c>
      <c r="H3">
        <f t="shared" ref="H3:H8" si="3">MIN(G3,9)</f>
        <v>9</v>
      </c>
      <c r="I3" s="7">
        <f t="shared" ref="I3:I8" si="4">IF(MAX(G3-9,0) - 1 &lt; 0, 0, MAX(G3-9,0) - 1)</f>
        <v>2.4999999999999982</v>
      </c>
      <c r="J3">
        <f t="shared" si="1"/>
        <v>326.88</v>
      </c>
      <c r="K3">
        <f t="shared" ref="K3:K7" si="5">I3*F3*1.2</f>
        <v>108.95999999999992</v>
      </c>
      <c r="L3">
        <f t="shared" si="2"/>
        <v>435.83999999999992</v>
      </c>
    </row>
    <row r="4" spans="1:12" x14ac:dyDescent="0.3">
      <c r="A4" t="s">
        <v>16</v>
      </c>
      <c r="B4" s="2" t="s">
        <v>20</v>
      </c>
      <c r="C4" s="4" t="s">
        <v>92</v>
      </c>
      <c r="D4" s="25" t="s">
        <v>33</v>
      </c>
      <c r="E4" s="25" t="s">
        <v>60</v>
      </c>
      <c r="F4">
        <v>36.32</v>
      </c>
      <c r="G4">
        <f t="shared" si="0"/>
        <v>12.499999999999998</v>
      </c>
      <c r="H4">
        <f t="shared" si="3"/>
        <v>9</v>
      </c>
      <c r="I4" s="7">
        <f t="shared" si="4"/>
        <v>2.4999999999999982</v>
      </c>
      <c r="J4">
        <f t="shared" si="1"/>
        <v>326.88</v>
      </c>
      <c r="K4">
        <f t="shared" si="5"/>
        <v>108.95999999999992</v>
      </c>
      <c r="L4">
        <f t="shared" si="2"/>
        <v>435.83999999999992</v>
      </c>
    </row>
    <row r="5" spans="1:12" x14ac:dyDescent="0.3">
      <c r="A5" t="s">
        <v>16</v>
      </c>
      <c r="B5" s="2" t="s">
        <v>20</v>
      </c>
      <c r="C5" s="4" t="s">
        <v>94</v>
      </c>
      <c r="D5" s="4" t="s">
        <v>33</v>
      </c>
      <c r="E5" s="25" t="s">
        <v>60</v>
      </c>
      <c r="F5">
        <v>36.32</v>
      </c>
      <c r="G5">
        <f t="shared" si="0"/>
        <v>12.499999999999998</v>
      </c>
      <c r="H5">
        <f t="shared" si="3"/>
        <v>9</v>
      </c>
      <c r="I5" s="7">
        <f t="shared" si="4"/>
        <v>2.4999999999999982</v>
      </c>
      <c r="J5">
        <f t="shared" si="1"/>
        <v>326.88</v>
      </c>
      <c r="K5">
        <f t="shared" si="5"/>
        <v>108.95999999999992</v>
      </c>
      <c r="L5">
        <f t="shared" si="2"/>
        <v>435.83999999999992</v>
      </c>
    </row>
    <row r="6" spans="1:12" x14ac:dyDescent="0.3">
      <c r="A6" t="s">
        <v>16</v>
      </c>
      <c r="B6" s="2" t="s">
        <v>20</v>
      </c>
      <c r="C6" s="4" t="s">
        <v>96</v>
      </c>
      <c r="D6" s="25" t="s">
        <v>33</v>
      </c>
      <c r="E6" s="25" t="s">
        <v>60</v>
      </c>
      <c r="F6">
        <v>36.32</v>
      </c>
      <c r="G6">
        <f t="shared" si="0"/>
        <v>12.499999999999998</v>
      </c>
      <c r="H6">
        <f t="shared" si="3"/>
        <v>9</v>
      </c>
      <c r="I6" s="7">
        <f t="shared" si="4"/>
        <v>2.4999999999999982</v>
      </c>
      <c r="J6">
        <f t="shared" si="1"/>
        <v>326.88</v>
      </c>
      <c r="K6">
        <f t="shared" si="5"/>
        <v>108.95999999999992</v>
      </c>
      <c r="L6">
        <f t="shared" si="2"/>
        <v>435.83999999999992</v>
      </c>
    </row>
    <row r="7" spans="1:12" x14ac:dyDescent="0.3">
      <c r="A7" t="s">
        <v>16</v>
      </c>
      <c r="B7" s="2" t="s">
        <v>20</v>
      </c>
      <c r="C7" s="4" t="s">
        <v>98</v>
      </c>
      <c r="D7" s="25" t="s">
        <v>128</v>
      </c>
      <c r="E7" s="25" t="s">
        <v>60</v>
      </c>
      <c r="F7">
        <v>36.32</v>
      </c>
      <c r="G7">
        <f t="shared" si="0"/>
        <v>12.033333333333333</v>
      </c>
      <c r="H7">
        <f t="shared" si="3"/>
        <v>9</v>
      </c>
      <c r="I7" s="7">
        <f t="shared" si="4"/>
        <v>2.0333333333333332</v>
      </c>
      <c r="J7">
        <f t="shared" si="1"/>
        <v>326.88</v>
      </c>
      <c r="K7">
        <f t="shared" si="5"/>
        <v>88.620800000000003</v>
      </c>
      <c r="L7">
        <f t="shared" si="2"/>
        <v>415.50080000000003</v>
      </c>
    </row>
    <row r="8" spans="1:12" x14ac:dyDescent="0.3">
      <c r="A8" t="s">
        <v>16</v>
      </c>
      <c r="B8" s="2" t="s">
        <v>20</v>
      </c>
      <c r="C8" s="4" t="s">
        <v>101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3"/>
        <v>0</v>
      </c>
      <c r="I8" s="7">
        <f t="shared" si="4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16</v>
      </c>
      <c r="B15" s="8">
        <f>SUM(J2:J13)</f>
        <v>1634.4</v>
      </c>
      <c r="C15" s="8">
        <f>SUM(K2:K13)</f>
        <v>524.46079999999972</v>
      </c>
      <c r="D15" s="8">
        <f>SUM(L2:L13)</f>
        <v>2158.8607999999995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Christian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1634.4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524.46079999999972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2158.8607999999995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2158.8607999999995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topLeftCell="A13" workbookViewId="0">
      <selection activeCell="F6" sqref="F6"/>
    </sheetView>
  </sheetViews>
  <sheetFormatPr defaultColWidth="14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2" t="s">
        <v>20</v>
      </c>
      <c r="C2" s="4" t="s">
        <v>89</v>
      </c>
      <c r="D2" s="4" t="s">
        <v>33</v>
      </c>
      <c r="E2" s="25" t="s">
        <v>57</v>
      </c>
      <c r="F2">
        <v>33.33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299.96999999999997</v>
      </c>
      <c r="K2">
        <f t="shared" ref="K2:K8" si="2">I2*F2*1.2</f>
        <v>119.98800000000006</v>
      </c>
      <c r="L2">
        <f t="shared" ref="L2:L8" si="3">J2+K2</f>
        <v>419.95800000000003</v>
      </c>
    </row>
    <row r="3" spans="1:12" x14ac:dyDescent="0.3">
      <c r="A3" t="s">
        <v>15</v>
      </c>
      <c r="B3" s="2" t="s">
        <v>20</v>
      </c>
      <c r="C3" s="4" t="s">
        <v>91</v>
      </c>
      <c r="D3" s="4" t="s">
        <v>33</v>
      </c>
      <c r="E3" s="25" t="s">
        <v>57</v>
      </c>
      <c r="F3">
        <v>33.33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299.96999999999997</v>
      </c>
      <c r="K3">
        <f t="shared" si="2"/>
        <v>119.98800000000006</v>
      </c>
      <c r="L3">
        <f t="shared" si="3"/>
        <v>419.95800000000003</v>
      </c>
    </row>
    <row r="4" spans="1:12" x14ac:dyDescent="0.3">
      <c r="A4" t="s">
        <v>15</v>
      </c>
      <c r="B4" s="2" t="s">
        <v>20</v>
      </c>
      <c r="C4" s="4" t="s">
        <v>92</v>
      </c>
      <c r="D4" s="4" t="s">
        <v>33</v>
      </c>
      <c r="E4" s="25" t="s">
        <v>57</v>
      </c>
      <c r="F4">
        <v>33.33</v>
      </c>
      <c r="G4">
        <f t="shared" si="0"/>
        <v>13.000000000000002</v>
      </c>
      <c r="H4">
        <f t="shared" si="4"/>
        <v>9</v>
      </c>
      <c r="I4" s="7">
        <f t="shared" si="5"/>
        <v>3.0000000000000018</v>
      </c>
      <c r="J4">
        <f t="shared" si="1"/>
        <v>299.96999999999997</v>
      </c>
      <c r="K4">
        <f t="shared" si="2"/>
        <v>119.98800000000006</v>
      </c>
      <c r="L4">
        <f t="shared" si="3"/>
        <v>419.95800000000003</v>
      </c>
    </row>
    <row r="5" spans="1:12" x14ac:dyDescent="0.3">
      <c r="A5" t="s">
        <v>15</v>
      </c>
      <c r="B5" s="2" t="s">
        <v>20</v>
      </c>
      <c r="C5" s="4" t="s">
        <v>94</v>
      </c>
      <c r="D5" s="25" t="s">
        <v>34</v>
      </c>
      <c r="E5" s="25" t="s">
        <v>34</v>
      </c>
      <c r="F5">
        <v>33.33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15</v>
      </c>
      <c r="B6" s="2" t="s">
        <v>20</v>
      </c>
      <c r="C6" s="4" t="s">
        <v>96</v>
      </c>
      <c r="D6" s="25" t="s">
        <v>34</v>
      </c>
      <c r="E6" s="25" t="s">
        <v>34</v>
      </c>
      <c r="F6">
        <v>33.33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15</v>
      </c>
      <c r="B7" s="2" t="s">
        <v>20</v>
      </c>
      <c r="C7" s="4" t="s">
        <v>98</v>
      </c>
      <c r="D7" s="4" t="s">
        <v>33</v>
      </c>
      <c r="E7" s="25" t="s">
        <v>57</v>
      </c>
      <c r="F7">
        <v>33.33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299.96999999999997</v>
      </c>
      <c r="K7">
        <f t="shared" si="2"/>
        <v>119.98800000000006</v>
      </c>
      <c r="L7">
        <f t="shared" si="3"/>
        <v>419.95800000000003</v>
      </c>
    </row>
    <row r="8" spans="1:12" x14ac:dyDescent="0.3">
      <c r="A8" t="s">
        <v>15</v>
      </c>
      <c r="B8" s="2" t="s">
        <v>20</v>
      </c>
      <c r="C8" s="4" t="s">
        <v>101</v>
      </c>
      <c r="D8" s="4" t="s">
        <v>33</v>
      </c>
      <c r="E8" s="25" t="s">
        <v>57</v>
      </c>
      <c r="F8">
        <v>33.33</v>
      </c>
      <c r="G8">
        <f t="shared" si="0"/>
        <v>13.000000000000002</v>
      </c>
      <c r="H8">
        <f t="shared" si="4"/>
        <v>9</v>
      </c>
      <c r="I8" s="7">
        <f t="shared" si="5"/>
        <v>3.0000000000000018</v>
      </c>
      <c r="J8">
        <f t="shared" si="1"/>
        <v>299.96999999999997</v>
      </c>
      <c r="K8">
        <f t="shared" si="2"/>
        <v>119.98800000000006</v>
      </c>
      <c r="L8">
        <f t="shared" si="3"/>
        <v>419.95800000000003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15</v>
      </c>
      <c r="B15" s="8">
        <f>SUM(J2:J13)</f>
        <v>1499.85</v>
      </c>
      <c r="C15" s="8">
        <f>SUM(K2:K13)</f>
        <v>599.94000000000028</v>
      </c>
      <c r="D15" s="8">
        <f>SUM(L2:L13)</f>
        <v>2099.79</v>
      </c>
    </row>
    <row r="18" spans="1:11" x14ac:dyDescent="0.3">
      <c r="G18" s="24"/>
      <c r="H18" s="24"/>
      <c r="I18" s="4"/>
      <c r="J18" s="4"/>
      <c r="K18" s="25"/>
    </row>
    <row r="19" spans="1:11" x14ac:dyDescent="0.3">
      <c r="G19" s="24"/>
      <c r="H19" s="24"/>
      <c r="I19" s="4"/>
      <c r="J19" s="4"/>
      <c r="K19" s="25"/>
    </row>
    <row r="20" spans="1:11" x14ac:dyDescent="0.3">
      <c r="G20" s="24"/>
      <c r="H20" s="4"/>
      <c r="I20" s="5"/>
      <c r="J20" s="5"/>
    </row>
    <row r="21" spans="1:11" x14ac:dyDescent="0.3">
      <c r="G21" s="24"/>
      <c r="H21" s="4"/>
      <c r="I21" s="26"/>
      <c r="J21" s="26"/>
    </row>
    <row r="22" spans="1:11" x14ac:dyDescent="0.3">
      <c r="G22" s="24"/>
      <c r="H22" s="4"/>
      <c r="I22" s="5"/>
      <c r="J22" s="5"/>
    </row>
    <row r="23" spans="1:11" ht="21.6" customHeight="1" x14ac:dyDescent="0.3">
      <c r="A23" s="32" t="s">
        <v>42</v>
      </c>
      <c r="B23" s="32"/>
      <c r="C23" s="15"/>
      <c r="D23" s="9"/>
      <c r="G23" s="24"/>
      <c r="H23" s="4"/>
      <c r="I23" s="5"/>
      <c r="J23" s="5"/>
    </row>
    <row r="24" spans="1:11" x14ac:dyDescent="0.3">
      <c r="A24" s="10" t="s">
        <v>43</v>
      </c>
      <c r="B24" s="11" t="str">
        <f>A2</f>
        <v>Cherry</v>
      </c>
      <c r="C24" s="16"/>
      <c r="G24" s="24"/>
      <c r="H24" s="4"/>
      <c r="I24" s="5"/>
      <c r="J24" s="5"/>
    </row>
    <row r="25" spans="1:11" x14ac:dyDescent="0.3">
      <c r="A25" s="10" t="s">
        <v>44</v>
      </c>
      <c r="B25" s="11" t="s">
        <v>58</v>
      </c>
      <c r="C25" s="16"/>
      <c r="G25" s="24"/>
      <c r="H25" s="4"/>
      <c r="I25" s="5"/>
      <c r="J25" s="5"/>
    </row>
    <row r="26" spans="1:11" x14ac:dyDescent="0.3">
      <c r="A26" s="10" t="s">
        <v>45</v>
      </c>
      <c r="B26" s="12">
        <f>C8+1</f>
        <v>46076</v>
      </c>
      <c r="C26" s="16"/>
      <c r="G26" s="24"/>
      <c r="H26" s="4"/>
      <c r="I26" s="26"/>
      <c r="J26" s="26"/>
    </row>
    <row r="27" spans="1:11" x14ac:dyDescent="0.3">
      <c r="A27" s="10" t="s">
        <v>53</v>
      </c>
      <c r="B27" s="10" t="str">
        <f>'Rhea Mae'!B27</f>
        <v>Feb-9 to Feb-15, 2026</v>
      </c>
      <c r="C27" s="16"/>
      <c r="G27" s="24"/>
      <c r="H27" s="4"/>
      <c r="I27" s="5"/>
      <c r="J27" s="5"/>
    </row>
    <row r="28" spans="1:11" x14ac:dyDescent="0.3">
      <c r="A28" s="10" t="s">
        <v>68</v>
      </c>
      <c r="B28" s="10">
        <f>COUNTIF(D2:D8, "*:*")</f>
        <v>5</v>
      </c>
      <c r="C28" s="16"/>
    </row>
    <row r="29" spans="1:11" x14ac:dyDescent="0.3">
      <c r="A29" s="13" t="s">
        <v>56</v>
      </c>
      <c r="B29" s="10"/>
      <c r="C29" s="17"/>
    </row>
    <row r="30" spans="1:11" x14ac:dyDescent="0.3">
      <c r="A30" s="10" t="s">
        <v>47</v>
      </c>
      <c r="B30" s="14">
        <f>B15</f>
        <v>1499.85</v>
      </c>
      <c r="C30" s="16"/>
    </row>
    <row r="31" spans="1:11" x14ac:dyDescent="0.3">
      <c r="A31" s="10" t="s">
        <v>46</v>
      </c>
      <c r="B31" s="14">
        <v>0</v>
      </c>
      <c r="C31" s="16"/>
    </row>
    <row r="32" spans="1:11" x14ac:dyDescent="0.3">
      <c r="A32" s="10" t="s">
        <v>6</v>
      </c>
      <c r="B32" s="14">
        <f>C15</f>
        <v>599.94000000000028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2099.79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2099.79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A13" workbookViewId="0">
      <selection activeCell="C34" sqref="C34"/>
    </sheetView>
  </sheetViews>
  <sheetFormatPr defaultColWidth="15.44140625" defaultRowHeight="14.4" x14ac:dyDescent="0.3"/>
  <cols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17</v>
      </c>
      <c r="B2" s="2" t="s">
        <v>21</v>
      </c>
      <c r="C2" s="4" t="s">
        <v>89</v>
      </c>
      <c r="D2" s="25" t="s">
        <v>31</v>
      </c>
      <c r="E2" s="25" t="s">
        <v>60</v>
      </c>
      <c r="F2">
        <v>27.77</v>
      </c>
      <c r="G2" s="27">
        <f t="shared" ref="G2:G8" si="0">(E2-D2)*24</f>
        <v>11</v>
      </c>
      <c r="H2" s="27">
        <f>MIN(G2,8)</f>
        <v>8</v>
      </c>
      <c r="I2" s="7">
        <f>IF(MAX(G2-9,0) - 1 &lt; 0, 0, MAX(G2-9,0) - 1)</f>
        <v>1</v>
      </c>
      <c r="J2" s="7">
        <f t="shared" ref="J2:J8" si="1">H2*F2</f>
        <v>222.16</v>
      </c>
      <c r="K2" s="7">
        <f t="shared" ref="K2:K8" si="2">I2*F2*1.2</f>
        <v>33.323999999999998</v>
      </c>
      <c r="L2" s="7">
        <f t="shared" ref="L2:L8" si="3">J2+K2</f>
        <v>255.48399999999998</v>
      </c>
    </row>
    <row r="3" spans="1:12" x14ac:dyDescent="0.3">
      <c r="A3" t="s">
        <v>17</v>
      </c>
      <c r="B3" s="2" t="s">
        <v>21</v>
      </c>
      <c r="C3" s="4" t="s">
        <v>91</v>
      </c>
      <c r="D3" s="25" t="s">
        <v>34</v>
      </c>
      <c r="E3" s="25" t="s">
        <v>34</v>
      </c>
      <c r="F3">
        <v>27.77</v>
      </c>
      <c r="G3" s="27">
        <f t="shared" si="0"/>
        <v>0</v>
      </c>
      <c r="H3" s="27">
        <f t="shared" ref="H3:H6" si="4">MIN(G3,8)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 x14ac:dyDescent="0.3">
      <c r="A4" t="s">
        <v>17</v>
      </c>
      <c r="B4" s="2" t="s">
        <v>21</v>
      </c>
      <c r="C4" s="4" t="s">
        <v>92</v>
      </c>
      <c r="D4" s="25" t="s">
        <v>31</v>
      </c>
      <c r="E4" s="25" t="s">
        <v>60</v>
      </c>
      <c r="F4">
        <v>27.77</v>
      </c>
      <c r="G4" s="27">
        <f t="shared" si="0"/>
        <v>11</v>
      </c>
      <c r="H4" s="27">
        <f t="shared" si="4"/>
        <v>8</v>
      </c>
      <c r="I4" s="7">
        <f t="shared" si="5"/>
        <v>1</v>
      </c>
      <c r="J4" s="7">
        <f t="shared" si="1"/>
        <v>222.16</v>
      </c>
      <c r="K4" s="7">
        <f t="shared" si="2"/>
        <v>33.323999999999998</v>
      </c>
      <c r="L4" s="7">
        <f t="shared" si="3"/>
        <v>255.48399999999998</v>
      </c>
    </row>
    <row r="5" spans="1:12" x14ac:dyDescent="0.3">
      <c r="A5" t="s">
        <v>17</v>
      </c>
      <c r="B5" s="2" t="s">
        <v>21</v>
      </c>
      <c r="C5" s="4" t="s">
        <v>94</v>
      </c>
      <c r="D5" s="25" t="s">
        <v>31</v>
      </c>
      <c r="E5" s="25" t="s">
        <v>60</v>
      </c>
      <c r="F5">
        <v>27.77</v>
      </c>
      <c r="G5" s="27">
        <f t="shared" si="0"/>
        <v>11</v>
      </c>
      <c r="H5" s="27">
        <f t="shared" si="4"/>
        <v>8</v>
      </c>
      <c r="I5" s="7">
        <f t="shared" si="5"/>
        <v>1</v>
      </c>
      <c r="J5" s="7">
        <f t="shared" si="1"/>
        <v>222.16</v>
      </c>
      <c r="K5" s="7">
        <f t="shared" si="2"/>
        <v>33.323999999999998</v>
      </c>
      <c r="L5" s="7">
        <f t="shared" si="3"/>
        <v>255.48399999999998</v>
      </c>
    </row>
    <row r="6" spans="1:12" x14ac:dyDescent="0.3">
      <c r="A6" t="s">
        <v>17</v>
      </c>
      <c r="B6" s="2" t="s">
        <v>21</v>
      </c>
      <c r="C6" s="4" t="s">
        <v>96</v>
      </c>
      <c r="D6" s="25" t="s">
        <v>31</v>
      </c>
      <c r="E6" s="25" t="s">
        <v>60</v>
      </c>
      <c r="F6">
        <v>27.77</v>
      </c>
      <c r="G6" s="27">
        <f t="shared" si="0"/>
        <v>11</v>
      </c>
      <c r="H6" s="27">
        <f t="shared" si="4"/>
        <v>8</v>
      </c>
      <c r="I6" s="7">
        <f t="shared" si="5"/>
        <v>1</v>
      </c>
      <c r="J6" s="7">
        <f t="shared" si="1"/>
        <v>222.16</v>
      </c>
      <c r="K6" s="7">
        <f t="shared" si="2"/>
        <v>33.323999999999998</v>
      </c>
      <c r="L6" s="7">
        <f t="shared" si="3"/>
        <v>255.48399999999998</v>
      </c>
    </row>
    <row r="7" spans="1:12" x14ac:dyDescent="0.3">
      <c r="A7" t="s">
        <v>17</v>
      </c>
      <c r="B7" s="2" t="s">
        <v>21</v>
      </c>
      <c r="C7" s="4" t="s">
        <v>98</v>
      </c>
      <c r="D7" s="25" t="s">
        <v>34</v>
      </c>
      <c r="E7" s="25" t="s">
        <v>34</v>
      </c>
      <c r="F7">
        <v>27.77</v>
      </c>
      <c r="G7" s="7">
        <f t="shared" si="0"/>
        <v>0</v>
      </c>
      <c r="H7" s="7">
        <f t="shared" ref="H7:H8" si="6">MIN(G7,9)</f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 x14ac:dyDescent="0.3">
      <c r="A8" t="s">
        <v>17</v>
      </c>
      <c r="B8" s="2" t="s">
        <v>21</v>
      </c>
      <c r="C8" s="4" t="s">
        <v>101</v>
      </c>
      <c r="D8" s="25" t="s">
        <v>31</v>
      </c>
      <c r="E8" s="25" t="s">
        <v>60</v>
      </c>
      <c r="F8">
        <v>27.77</v>
      </c>
      <c r="G8" s="7">
        <f t="shared" si="0"/>
        <v>11</v>
      </c>
      <c r="H8" s="7">
        <f t="shared" si="6"/>
        <v>9</v>
      </c>
      <c r="I8" s="7">
        <f t="shared" si="5"/>
        <v>1</v>
      </c>
      <c r="J8" s="7">
        <f t="shared" si="1"/>
        <v>249.93</v>
      </c>
      <c r="K8" s="7">
        <f t="shared" si="2"/>
        <v>33.323999999999998</v>
      </c>
      <c r="L8" s="7">
        <f t="shared" si="3"/>
        <v>283.25400000000002</v>
      </c>
    </row>
    <row r="9" spans="1:12" x14ac:dyDescent="0.3">
      <c r="C9" s="18"/>
      <c r="D9" s="19"/>
      <c r="E9" s="19"/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17</v>
      </c>
      <c r="B15" s="8">
        <f>SUM(J2:J13)</f>
        <v>1138.57</v>
      </c>
      <c r="C15" s="8">
        <f>SUM(K2:K13)</f>
        <v>166.62</v>
      </c>
      <c r="D15" s="8">
        <f>SUM(L2:L13)</f>
        <v>1305.19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Aldrin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1138.57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166.62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1305.19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1305.19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topLeftCell="A19" workbookViewId="0">
      <selection activeCell="B41" sqref="B41"/>
    </sheetView>
  </sheetViews>
  <sheetFormatPr defaultColWidth="15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36</v>
      </c>
      <c r="B2" s="2" t="s">
        <v>146</v>
      </c>
      <c r="C2" s="4" t="s">
        <v>89</v>
      </c>
      <c r="D2" s="25" t="s">
        <v>31</v>
      </c>
      <c r="E2" s="5" t="s">
        <v>57</v>
      </c>
      <c r="F2">
        <v>27.77</v>
      </c>
      <c r="G2">
        <f t="shared" ref="G2:G8" si="0">(E2-D2)*24</f>
        <v>11.5</v>
      </c>
      <c r="H2">
        <f>MIN(G2,9)</f>
        <v>9</v>
      </c>
      <c r="I2" s="7">
        <f>IF(MAX(G2-9,0) - 1 &lt; 0, 0, MAX(G2-9,0) - 1)</f>
        <v>1.5</v>
      </c>
      <c r="J2">
        <f t="shared" ref="J2:J8" si="1">H2*F2</f>
        <v>249.93</v>
      </c>
      <c r="K2">
        <f t="shared" ref="K2:K8" si="2">I2*F2*1.2</f>
        <v>49.985999999999997</v>
      </c>
      <c r="L2">
        <f t="shared" ref="L2:L8" si="3">J2+K2</f>
        <v>299.916</v>
      </c>
    </row>
    <row r="3" spans="1:12" x14ac:dyDescent="0.3">
      <c r="A3" t="s">
        <v>36</v>
      </c>
      <c r="B3" s="2" t="s">
        <v>146</v>
      </c>
      <c r="C3" s="4" t="s">
        <v>91</v>
      </c>
      <c r="D3" s="25" t="s">
        <v>33</v>
      </c>
      <c r="E3" s="5" t="s">
        <v>60</v>
      </c>
      <c r="F3">
        <v>27.77</v>
      </c>
      <c r="G3">
        <f t="shared" si="0"/>
        <v>12.499999999999998</v>
      </c>
      <c r="H3">
        <f t="shared" ref="H3:H8" si="4">MIN(G3,9)</f>
        <v>9</v>
      </c>
      <c r="I3" s="7">
        <f t="shared" ref="I3:I8" si="5">IF(MAX(G3-9,0) - 1 &lt; 0, 0, MAX(G3-9,0) - 1)</f>
        <v>2.4999999999999982</v>
      </c>
      <c r="J3">
        <f t="shared" si="1"/>
        <v>249.93</v>
      </c>
      <c r="K3">
        <f t="shared" si="2"/>
        <v>83.309999999999945</v>
      </c>
      <c r="L3">
        <f t="shared" si="3"/>
        <v>333.23999999999995</v>
      </c>
    </row>
    <row r="4" spans="1:12" x14ac:dyDescent="0.3">
      <c r="A4" t="s">
        <v>36</v>
      </c>
      <c r="B4" s="2" t="s">
        <v>146</v>
      </c>
      <c r="C4" s="4" t="s">
        <v>92</v>
      </c>
      <c r="D4" s="25" t="s">
        <v>34</v>
      </c>
      <c r="E4" s="5" t="s">
        <v>34</v>
      </c>
      <c r="F4">
        <v>27.77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36</v>
      </c>
      <c r="B5" s="2" t="s">
        <v>146</v>
      </c>
      <c r="C5" s="4" t="s">
        <v>94</v>
      </c>
      <c r="D5" s="25" t="s">
        <v>33</v>
      </c>
      <c r="E5" s="5" t="s">
        <v>80</v>
      </c>
      <c r="F5">
        <v>27.77</v>
      </c>
      <c r="G5">
        <f t="shared" si="0"/>
        <v>7.4999999999999982</v>
      </c>
      <c r="H5">
        <f t="shared" si="4"/>
        <v>7.4999999999999982</v>
      </c>
      <c r="I5" s="7">
        <f t="shared" si="5"/>
        <v>0</v>
      </c>
      <c r="J5">
        <f t="shared" si="1"/>
        <v>208.27499999999995</v>
      </c>
      <c r="K5">
        <f t="shared" si="2"/>
        <v>0</v>
      </c>
      <c r="L5">
        <f t="shared" si="3"/>
        <v>208.27499999999995</v>
      </c>
    </row>
    <row r="6" spans="1:12" x14ac:dyDescent="0.3">
      <c r="A6" t="s">
        <v>36</v>
      </c>
      <c r="B6" s="2" t="s">
        <v>146</v>
      </c>
      <c r="C6" s="4" t="s">
        <v>96</v>
      </c>
      <c r="D6" s="25" t="s">
        <v>34</v>
      </c>
      <c r="E6" s="25" t="s">
        <v>34</v>
      </c>
      <c r="F6">
        <v>27.77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36</v>
      </c>
      <c r="B7" s="2" t="s">
        <v>146</v>
      </c>
      <c r="C7" s="4" t="s">
        <v>98</v>
      </c>
      <c r="D7" s="25" t="s">
        <v>33</v>
      </c>
      <c r="E7" s="5" t="s">
        <v>57</v>
      </c>
      <c r="F7">
        <v>27.77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249.93</v>
      </c>
      <c r="K7">
        <f t="shared" si="2"/>
        <v>99.972000000000051</v>
      </c>
      <c r="L7">
        <f t="shared" si="3"/>
        <v>349.90200000000004</v>
      </c>
    </row>
    <row r="8" spans="1:12" x14ac:dyDescent="0.3">
      <c r="A8" t="s">
        <v>36</v>
      </c>
      <c r="B8" s="2" t="s">
        <v>146</v>
      </c>
      <c r="C8" s="4" t="s">
        <v>101</v>
      </c>
      <c r="D8" s="25" t="s">
        <v>66</v>
      </c>
      <c r="E8" s="5" t="s">
        <v>57</v>
      </c>
      <c r="F8">
        <v>27.77</v>
      </c>
      <c r="G8">
        <f t="shared" si="0"/>
        <v>12.5</v>
      </c>
      <c r="H8">
        <f t="shared" si="4"/>
        <v>9</v>
      </c>
      <c r="I8" s="7">
        <f t="shared" si="5"/>
        <v>2.5</v>
      </c>
      <c r="J8">
        <f t="shared" si="1"/>
        <v>249.93</v>
      </c>
      <c r="K8">
        <f t="shared" si="2"/>
        <v>83.309999999999988</v>
      </c>
      <c r="L8">
        <f t="shared" si="3"/>
        <v>333.24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36</v>
      </c>
      <c r="B15" s="8">
        <f>SUM(J2:J13)</f>
        <v>1207.9950000000001</v>
      </c>
      <c r="C15" s="8">
        <f>SUM(K2:K13)</f>
        <v>316.57799999999997</v>
      </c>
      <c r="D15" s="8">
        <f>SUM(L2:L13)</f>
        <v>1524.5730000000001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Mark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1207.9950000000001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316.57799999999997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1524.5730000000001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1524.5730000000001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14" activePane="bottomLeft" state="frozen"/>
      <selection pane="bottomLeft" activeCell="B42" sqref="B42"/>
    </sheetView>
  </sheetViews>
  <sheetFormatPr defaultColWidth="12.8867187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</v>
      </c>
      <c r="B2" s="2" t="s">
        <v>20</v>
      </c>
      <c r="C2" s="4" t="s">
        <v>89</v>
      </c>
      <c r="D2" s="5" t="s">
        <v>33</v>
      </c>
      <c r="E2" s="5" t="s">
        <v>147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 x14ac:dyDescent="0.3">
      <c r="A3" t="s">
        <v>10</v>
      </c>
      <c r="B3" s="2" t="s">
        <v>20</v>
      </c>
      <c r="C3" s="4" t="s">
        <v>91</v>
      </c>
      <c r="D3" s="5" t="s">
        <v>33</v>
      </c>
      <c r="E3" s="5" t="s">
        <v>60</v>
      </c>
      <c r="F3">
        <v>34.18</v>
      </c>
      <c r="G3">
        <f t="shared" si="0"/>
        <v>12.499999999999998</v>
      </c>
      <c r="H3">
        <f t="shared" ref="H3:H8" si="4">MIN(G3,9)</f>
        <v>9</v>
      </c>
      <c r="I3" s="7">
        <f t="shared" ref="I3:I8" si="5">IF(MAX(G3-9,0) - 1 &lt; 0, 0, MAX(G3-9,0) - 1)</f>
        <v>2.4999999999999982</v>
      </c>
      <c r="J3">
        <f t="shared" si="1"/>
        <v>307.62</v>
      </c>
      <c r="K3" s="7">
        <f t="shared" si="2"/>
        <v>102.53999999999992</v>
      </c>
      <c r="L3">
        <f t="shared" si="3"/>
        <v>410.15999999999991</v>
      </c>
    </row>
    <row r="4" spans="1:12" x14ac:dyDescent="0.3">
      <c r="A4" t="s">
        <v>10</v>
      </c>
      <c r="B4" s="2" t="s">
        <v>20</v>
      </c>
      <c r="C4" s="4" t="s">
        <v>92</v>
      </c>
      <c r="D4" s="5" t="s">
        <v>33</v>
      </c>
      <c r="E4" s="5" t="s">
        <v>67</v>
      </c>
      <c r="F4">
        <v>34.18</v>
      </c>
      <c r="G4">
        <f t="shared" si="0"/>
        <v>9.5</v>
      </c>
      <c r="H4">
        <f t="shared" si="4"/>
        <v>9</v>
      </c>
      <c r="I4" s="7">
        <f t="shared" si="5"/>
        <v>0</v>
      </c>
      <c r="J4">
        <f t="shared" si="1"/>
        <v>307.62</v>
      </c>
      <c r="K4" s="7">
        <f t="shared" si="2"/>
        <v>0</v>
      </c>
      <c r="L4">
        <f t="shared" si="3"/>
        <v>307.62</v>
      </c>
    </row>
    <row r="5" spans="1:12" x14ac:dyDescent="0.3">
      <c r="A5" t="s">
        <v>10</v>
      </c>
      <c r="B5" s="2" t="s">
        <v>20</v>
      </c>
      <c r="C5" s="4" t="s">
        <v>94</v>
      </c>
      <c r="D5" s="5" t="s">
        <v>33</v>
      </c>
      <c r="E5" s="5" t="s">
        <v>80</v>
      </c>
      <c r="F5">
        <v>34.18</v>
      </c>
      <c r="G5">
        <f t="shared" si="0"/>
        <v>7.4999999999999982</v>
      </c>
      <c r="H5">
        <f t="shared" si="4"/>
        <v>7.4999999999999982</v>
      </c>
      <c r="I5" s="7">
        <f t="shared" si="5"/>
        <v>0</v>
      </c>
      <c r="J5">
        <f t="shared" si="1"/>
        <v>256.34999999999991</v>
      </c>
      <c r="K5" s="7">
        <f t="shared" si="2"/>
        <v>0</v>
      </c>
      <c r="L5">
        <f t="shared" si="3"/>
        <v>256.34999999999991</v>
      </c>
    </row>
    <row r="6" spans="1:12" x14ac:dyDescent="0.3">
      <c r="A6" t="s">
        <v>10</v>
      </c>
      <c r="B6" s="2" t="s">
        <v>20</v>
      </c>
      <c r="C6" s="4" t="s">
        <v>96</v>
      </c>
      <c r="D6" s="5" t="s">
        <v>33</v>
      </c>
      <c r="E6" s="5" t="s">
        <v>61</v>
      </c>
      <c r="F6">
        <v>34.18</v>
      </c>
      <c r="G6">
        <f t="shared" si="0"/>
        <v>11.999999999999998</v>
      </c>
      <c r="H6">
        <f t="shared" si="4"/>
        <v>9</v>
      </c>
      <c r="I6" s="7">
        <f t="shared" si="5"/>
        <v>1.9999999999999982</v>
      </c>
      <c r="J6">
        <f t="shared" si="1"/>
        <v>307.62</v>
      </c>
      <c r="K6" s="7">
        <f t="shared" si="2"/>
        <v>82.031999999999925</v>
      </c>
      <c r="L6">
        <f t="shared" si="3"/>
        <v>389.65199999999993</v>
      </c>
    </row>
    <row r="7" spans="1:12" x14ac:dyDescent="0.3">
      <c r="A7" t="s">
        <v>10</v>
      </c>
      <c r="B7" s="2" t="s">
        <v>20</v>
      </c>
      <c r="C7" s="4" t="s">
        <v>98</v>
      </c>
      <c r="D7" s="5" t="s">
        <v>34</v>
      </c>
      <c r="E7" s="5" t="s">
        <v>34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 x14ac:dyDescent="0.3">
      <c r="A8" t="s">
        <v>10</v>
      </c>
      <c r="B8" s="2" t="s">
        <v>20</v>
      </c>
      <c r="C8" s="4" t="s">
        <v>101</v>
      </c>
      <c r="D8" s="5" t="s">
        <v>34</v>
      </c>
      <c r="E8" s="5" t="s">
        <v>34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10</v>
      </c>
      <c r="B15" s="8">
        <f>SUM(J2:J13)</f>
        <v>1486.83</v>
      </c>
      <c r="C15" s="8">
        <f>SUM(K2:K13)</f>
        <v>205.07999999999976</v>
      </c>
      <c r="D15" s="8">
        <f>SUM(L2:L13)</f>
        <v>1691.9099999999999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Chadiyah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1486.83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205.07999999999976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1691.9099999999999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1691.9099999999999</v>
      </c>
      <c r="C40" s="16"/>
    </row>
    <row r="41" spans="1:3" x14ac:dyDescent="0.3">
      <c r="B41">
        <v>-367</v>
      </c>
    </row>
    <row r="42" spans="1:3" x14ac:dyDescent="0.3">
      <c r="B42" s="31">
        <f>SUM(B40:B41)</f>
        <v>1324.9099999999999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  <col min="6" max="12" width="14.6640625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62</v>
      </c>
      <c r="B2" s="2" t="s">
        <v>63</v>
      </c>
      <c r="C2" s="4" t="s">
        <v>89</v>
      </c>
      <c r="D2" s="25" t="s">
        <v>34</v>
      </c>
      <c r="E2" s="25" t="s">
        <v>34</v>
      </c>
      <c r="F2">
        <v>22.22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 x14ac:dyDescent="0.3">
      <c r="A3" t="s">
        <v>62</v>
      </c>
      <c r="B3" s="2" t="s">
        <v>63</v>
      </c>
      <c r="C3" s="4" t="s">
        <v>91</v>
      </c>
      <c r="D3" s="25" t="s">
        <v>34</v>
      </c>
      <c r="E3" s="25" t="s">
        <v>34</v>
      </c>
      <c r="F3">
        <v>22.22</v>
      </c>
      <c r="G3" s="7">
        <f t="shared" si="0"/>
        <v>0</v>
      </c>
      <c r="H3" s="7">
        <f>MIN(G3,9)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 x14ac:dyDescent="0.3">
      <c r="A4" t="s">
        <v>62</v>
      </c>
      <c r="B4" s="2" t="s">
        <v>63</v>
      </c>
      <c r="C4" s="4" t="s">
        <v>92</v>
      </c>
      <c r="D4" s="25" t="s">
        <v>64</v>
      </c>
      <c r="E4" s="25" t="s">
        <v>60</v>
      </c>
      <c r="F4">
        <v>22.22</v>
      </c>
      <c r="G4" s="7">
        <f t="shared" si="0"/>
        <v>3.9999999999999991</v>
      </c>
      <c r="H4" s="7">
        <f t="shared" ref="H4:H8" si="5">MIN(G4,9)</f>
        <v>3.9999999999999991</v>
      </c>
      <c r="I4" s="7">
        <f t="shared" si="4"/>
        <v>0</v>
      </c>
      <c r="J4" s="7">
        <f t="shared" si="1"/>
        <v>88.879999999999981</v>
      </c>
      <c r="K4" s="7">
        <f t="shared" si="2"/>
        <v>0</v>
      </c>
      <c r="L4" s="7">
        <v>100</v>
      </c>
    </row>
    <row r="5" spans="1:12" x14ac:dyDescent="0.3">
      <c r="A5" t="s">
        <v>62</v>
      </c>
      <c r="B5" s="2" t="s">
        <v>63</v>
      </c>
      <c r="C5" s="4" t="s">
        <v>94</v>
      </c>
      <c r="D5" s="25" t="s">
        <v>64</v>
      </c>
      <c r="E5" s="25" t="s">
        <v>60</v>
      </c>
      <c r="F5">
        <v>22.22</v>
      </c>
      <c r="G5" s="7">
        <f>(E5-D5)*24</f>
        <v>3.9999999999999991</v>
      </c>
      <c r="H5" s="7">
        <f t="shared" si="5"/>
        <v>3.9999999999999991</v>
      </c>
      <c r="I5" s="7">
        <f t="shared" si="4"/>
        <v>0</v>
      </c>
      <c r="J5" s="7">
        <f t="shared" si="1"/>
        <v>88.879999999999981</v>
      </c>
      <c r="K5" s="7">
        <f t="shared" si="2"/>
        <v>0</v>
      </c>
      <c r="L5" s="7">
        <v>100</v>
      </c>
    </row>
    <row r="6" spans="1:12" x14ac:dyDescent="0.3">
      <c r="A6" t="s">
        <v>62</v>
      </c>
      <c r="B6" s="2" t="s">
        <v>63</v>
      </c>
      <c r="C6" s="4" t="s">
        <v>96</v>
      </c>
      <c r="D6" s="25" t="s">
        <v>64</v>
      </c>
      <c r="E6" s="25" t="s">
        <v>60</v>
      </c>
      <c r="F6">
        <v>22.22</v>
      </c>
      <c r="G6" s="7">
        <f>(E6-D6)*24</f>
        <v>3.9999999999999991</v>
      </c>
      <c r="H6" s="7">
        <f t="shared" si="5"/>
        <v>3.9999999999999991</v>
      </c>
      <c r="I6" s="7">
        <f t="shared" si="4"/>
        <v>0</v>
      </c>
      <c r="J6" s="7">
        <f t="shared" si="1"/>
        <v>88.879999999999981</v>
      </c>
      <c r="K6" s="7">
        <f t="shared" si="2"/>
        <v>0</v>
      </c>
      <c r="L6" s="7">
        <v>100</v>
      </c>
    </row>
    <row r="7" spans="1:12" x14ac:dyDescent="0.3">
      <c r="A7" t="s">
        <v>62</v>
      </c>
      <c r="B7" s="28" t="s">
        <v>65</v>
      </c>
      <c r="C7" s="4" t="s">
        <v>98</v>
      </c>
      <c r="D7" s="25" t="s">
        <v>99</v>
      </c>
      <c r="E7" s="25" t="s">
        <v>60</v>
      </c>
      <c r="F7">
        <v>22.22</v>
      </c>
      <c r="G7" s="7">
        <f t="shared" si="0"/>
        <v>12.05</v>
      </c>
      <c r="H7" s="7">
        <f t="shared" si="5"/>
        <v>9</v>
      </c>
      <c r="I7" s="7">
        <f t="shared" si="4"/>
        <v>2.0500000000000007</v>
      </c>
      <c r="J7" s="7">
        <f t="shared" si="1"/>
        <v>199.98</v>
      </c>
      <c r="K7" s="7">
        <f t="shared" si="2"/>
        <v>54.661200000000015</v>
      </c>
      <c r="L7" s="7">
        <f t="shared" si="3"/>
        <v>254.6412</v>
      </c>
    </row>
    <row r="8" spans="1:12" x14ac:dyDescent="0.3">
      <c r="A8" t="s">
        <v>62</v>
      </c>
      <c r="B8" s="28" t="s">
        <v>65</v>
      </c>
      <c r="C8" s="4" t="s">
        <v>101</v>
      </c>
      <c r="D8" s="25" t="s">
        <v>102</v>
      </c>
      <c r="E8" s="25" t="s">
        <v>60</v>
      </c>
      <c r="F8">
        <v>22.22</v>
      </c>
      <c r="G8" s="7">
        <f t="shared" si="0"/>
        <v>8.6166666666666654</v>
      </c>
      <c r="H8" s="7">
        <f t="shared" si="5"/>
        <v>8.6166666666666654</v>
      </c>
      <c r="I8" s="7">
        <f t="shared" si="4"/>
        <v>0</v>
      </c>
      <c r="J8" s="7">
        <f t="shared" si="1"/>
        <v>191.46233333333331</v>
      </c>
      <c r="K8" s="7">
        <f t="shared" si="2"/>
        <v>0</v>
      </c>
      <c r="L8" s="7">
        <f t="shared" si="3"/>
        <v>191.46233333333331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62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Lenard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46076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658.08233333333317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54.661200000000015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746.1035333333333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0" workbookViewId="0">
      <selection activeCell="A45" sqref="A45"/>
    </sheetView>
  </sheetViews>
  <sheetFormatPr defaultColWidth="15.44140625" defaultRowHeight="14.4" x14ac:dyDescent="0.3"/>
  <cols>
    <col min="1" max="1" width="15.664062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14</v>
      </c>
      <c r="B2" s="2" t="s">
        <v>20</v>
      </c>
      <c r="C2" s="4" t="s">
        <v>69</v>
      </c>
      <c r="D2" s="25" t="s">
        <v>70</v>
      </c>
      <c r="E2" s="25" t="s">
        <v>57</v>
      </c>
      <c r="F2">
        <v>38.46</v>
      </c>
      <c r="G2" s="7">
        <f t="shared" ref="G2:G8" si="0">(E2-D2)*24</f>
        <v>12.966666666666669</v>
      </c>
      <c r="H2" s="7">
        <f>MIN(G2,9)</f>
        <v>9</v>
      </c>
      <c r="I2" s="7">
        <f>IF(MAX(G2-9,0) - 1 &lt; 0, 0, MAX(G2-9,0) - 1)</f>
        <v>2.9666666666666686</v>
      </c>
      <c r="J2" s="7">
        <f t="shared" ref="J2:J8" si="1">H2*F2</f>
        <v>346.14</v>
      </c>
      <c r="K2" s="7">
        <f t="shared" ref="K2:K8" si="2">I2*F2*1.2</f>
        <v>136.91760000000008</v>
      </c>
      <c r="L2" s="7">
        <f t="shared" ref="L2:L8" si="3">J2+K2</f>
        <v>483.05760000000009</v>
      </c>
    </row>
    <row r="3" spans="1:12" x14ac:dyDescent="0.3">
      <c r="A3" t="s">
        <v>14</v>
      </c>
      <c r="B3" s="2" t="s">
        <v>20</v>
      </c>
      <c r="C3" s="4" t="s">
        <v>71</v>
      </c>
      <c r="D3" s="4" t="s">
        <v>33</v>
      </c>
      <c r="E3" s="25" t="s">
        <v>32</v>
      </c>
      <c r="F3">
        <v>38.46</v>
      </c>
      <c r="G3" s="7">
        <f t="shared" si="0"/>
        <v>13.5</v>
      </c>
      <c r="H3" s="7">
        <f t="shared" ref="H3:H8" si="4">MIN(G3,9)</f>
        <v>9</v>
      </c>
      <c r="I3" s="7">
        <f t="shared" ref="I3:I8" si="5">IF(MAX(G3-9,0) - 1 &lt; 0, 0, MAX(G3-9,0) - 1)</f>
        <v>3.5</v>
      </c>
      <c r="J3" s="7">
        <f t="shared" si="1"/>
        <v>346.14</v>
      </c>
      <c r="K3" s="7">
        <f t="shared" si="2"/>
        <v>161.53200000000001</v>
      </c>
      <c r="L3" s="7">
        <f t="shared" si="3"/>
        <v>507.67200000000003</v>
      </c>
    </row>
    <row r="4" spans="1:12" x14ac:dyDescent="0.3">
      <c r="A4" t="s">
        <v>14</v>
      </c>
      <c r="B4" s="2" t="s">
        <v>20</v>
      </c>
      <c r="C4" s="4" t="s">
        <v>72</v>
      </c>
      <c r="D4" s="4" t="s">
        <v>33</v>
      </c>
      <c r="E4" s="25" t="s">
        <v>57</v>
      </c>
      <c r="F4">
        <v>38.46</v>
      </c>
      <c r="G4" s="7">
        <f t="shared" si="0"/>
        <v>13.000000000000002</v>
      </c>
      <c r="H4" s="7">
        <f t="shared" si="4"/>
        <v>9</v>
      </c>
      <c r="I4" s="7">
        <f t="shared" si="5"/>
        <v>3.0000000000000018</v>
      </c>
      <c r="J4" s="7">
        <f t="shared" si="1"/>
        <v>346.14</v>
      </c>
      <c r="K4" s="7">
        <f t="shared" si="2"/>
        <v>138.45600000000007</v>
      </c>
      <c r="L4" s="7">
        <f t="shared" si="3"/>
        <v>484.59600000000006</v>
      </c>
    </row>
    <row r="5" spans="1:12" x14ac:dyDescent="0.3">
      <c r="A5" t="s">
        <v>14</v>
      </c>
      <c r="B5" s="2" t="s">
        <v>20</v>
      </c>
      <c r="C5" s="4" t="s">
        <v>73</v>
      </c>
      <c r="D5" s="4" t="s">
        <v>33</v>
      </c>
      <c r="E5" s="25" t="s">
        <v>32</v>
      </c>
      <c r="F5">
        <v>38.46</v>
      </c>
      <c r="G5" s="7">
        <f t="shared" si="0"/>
        <v>13.5</v>
      </c>
      <c r="H5" s="7">
        <f t="shared" si="4"/>
        <v>9</v>
      </c>
      <c r="I5" s="7">
        <f t="shared" si="5"/>
        <v>3.5</v>
      </c>
      <c r="J5" s="7">
        <f t="shared" si="1"/>
        <v>346.14</v>
      </c>
      <c r="K5" s="7">
        <f t="shared" si="2"/>
        <v>161.53200000000001</v>
      </c>
      <c r="L5" s="7">
        <f t="shared" si="3"/>
        <v>507.67200000000003</v>
      </c>
    </row>
    <row r="6" spans="1:12" x14ac:dyDescent="0.3">
      <c r="A6" t="s">
        <v>14</v>
      </c>
      <c r="B6" s="2" t="s">
        <v>20</v>
      </c>
      <c r="C6" s="4" t="s">
        <v>74</v>
      </c>
      <c r="D6" s="25" t="s">
        <v>34</v>
      </c>
      <c r="E6" s="25" t="s">
        <v>34</v>
      </c>
      <c r="F6">
        <v>38.46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 x14ac:dyDescent="0.3">
      <c r="A7" t="s">
        <v>14</v>
      </c>
      <c r="B7" s="2" t="s">
        <v>20</v>
      </c>
      <c r="C7" s="4" t="s">
        <v>75</v>
      </c>
      <c r="D7" s="25" t="s">
        <v>76</v>
      </c>
      <c r="E7" s="25" t="s">
        <v>32</v>
      </c>
      <c r="F7">
        <v>38.46</v>
      </c>
      <c r="G7" s="7">
        <f t="shared" si="0"/>
        <v>13.483333333333331</v>
      </c>
      <c r="H7" s="7">
        <f t="shared" si="4"/>
        <v>9</v>
      </c>
      <c r="I7" s="7">
        <f t="shared" si="5"/>
        <v>3.4833333333333307</v>
      </c>
      <c r="J7" s="7">
        <f t="shared" si="1"/>
        <v>346.14</v>
      </c>
      <c r="K7" s="7">
        <f t="shared" si="2"/>
        <v>160.76279999999988</v>
      </c>
      <c r="L7" s="7">
        <f t="shared" si="3"/>
        <v>506.90279999999984</v>
      </c>
    </row>
    <row r="8" spans="1:12" x14ac:dyDescent="0.3">
      <c r="A8" t="s">
        <v>14</v>
      </c>
      <c r="B8" s="2" t="s">
        <v>20</v>
      </c>
      <c r="C8" s="4" t="s">
        <v>77</v>
      </c>
      <c r="D8" s="25" t="s">
        <v>34</v>
      </c>
      <c r="E8" s="25" t="s">
        <v>34</v>
      </c>
      <c r="F8">
        <v>38.46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14</v>
      </c>
      <c r="B15" s="8">
        <f>SUM(J2:J13)</f>
        <v>1730.6999999999998</v>
      </c>
      <c r="C15" s="8">
        <f>SUM(K2:K13)</f>
        <v>759.20040000000006</v>
      </c>
      <c r="D15" s="8">
        <f>SUM(L2:L13)</f>
        <v>2489.9004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Rhea Mae</v>
      </c>
      <c r="C24" s="16"/>
    </row>
    <row r="25" spans="1:4" x14ac:dyDescent="0.3">
      <c r="A25" s="10" t="s">
        <v>44</v>
      </c>
      <c r="B25" s="11" t="s">
        <v>52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">
        <v>81</v>
      </c>
      <c r="C27" s="16"/>
    </row>
    <row r="28" spans="1:4" x14ac:dyDescent="0.3">
      <c r="A28" s="10" t="s">
        <v>68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1730.6999999999998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759.20040000000006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2489.9004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2489.9004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82</v>
      </c>
      <c r="B2" s="2" t="s">
        <v>63</v>
      </c>
      <c r="C2" s="4" t="s">
        <v>69</v>
      </c>
      <c r="D2" s="30" t="s">
        <v>66</v>
      </c>
      <c r="E2" s="25" t="s">
        <v>34</v>
      </c>
      <c r="G2" s="7"/>
      <c r="H2" s="7"/>
      <c r="I2" s="7"/>
      <c r="J2" s="7"/>
      <c r="K2" s="7"/>
      <c r="L2" s="29">
        <v>420</v>
      </c>
    </row>
    <row r="3" spans="1:12" x14ac:dyDescent="0.3">
      <c r="A3" t="s">
        <v>82</v>
      </c>
      <c r="B3" s="2" t="s">
        <v>63</v>
      </c>
      <c r="C3" s="4" t="s">
        <v>71</v>
      </c>
      <c r="D3" s="30" t="s">
        <v>78</v>
      </c>
      <c r="E3" s="25" t="s">
        <v>34</v>
      </c>
      <c r="G3" s="7"/>
      <c r="H3" s="7"/>
      <c r="I3" s="7"/>
      <c r="J3" s="7"/>
      <c r="K3" s="7"/>
      <c r="L3" s="29">
        <v>520</v>
      </c>
    </row>
    <row r="4" spans="1:12" x14ac:dyDescent="0.3">
      <c r="A4" t="s">
        <v>82</v>
      </c>
      <c r="B4" s="2" t="s">
        <v>63</v>
      </c>
      <c r="C4" s="4" t="s">
        <v>72</v>
      </c>
      <c r="D4" s="30" t="s">
        <v>83</v>
      </c>
      <c r="E4" s="25" t="s">
        <v>34</v>
      </c>
      <c r="G4" s="7"/>
      <c r="H4" s="7"/>
      <c r="I4" s="7"/>
      <c r="J4" s="7"/>
      <c r="K4" s="7"/>
      <c r="L4" s="29">
        <v>400</v>
      </c>
    </row>
    <row r="5" spans="1:12" x14ac:dyDescent="0.3">
      <c r="A5" t="s">
        <v>82</v>
      </c>
      <c r="B5" s="2" t="s">
        <v>63</v>
      </c>
      <c r="C5" s="4" t="s">
        <v>73</v>
      </c>
      <c r="D5" s="30" t="s">
        <v>84</v>
      </c>
      <c r="E5" s="25" t="s">
        <v>34</v>
      </c>
      <c r="G5" s="7"/>
      <c r="H5" s="7"/>
      <c r="I5" s="7"/>
      <c r="J5" s="7"/>
      <c r="K5" s="7"/>
      <c r="L5" s="29">
        <v>400</v>
      </c>
    </row>
    <row r="6" spans="1:12" x14ac:dyDescent="0.3">
      <c r="A6" t="s">
        <v>82</v>
      </c>
      <c r="B6" s="2" t="s">
        <v>63</v>
      </c>
      <c r="C6" s="4" t="s">
        <v>74</v>
      </c>
      <c r="D6" s="30" t="s">
        <v>85</v>
      </c>
      <c r="E6" s="25" t="s">
        <v>34</v>
      </c>
      <c r="G6" s="7"/>
      <c r="H6" s="7"/>
      <c r="I6" s="7"/>
      <c r="J6" s="7"/>
      <c r="K6" s="7"/>
      <c r="L6" s="29">
        <v>400</v>
      </c>
    </row>
    <row r="7" spans="1:12" x14ac:dyDescent="0.3">
      <c r="A7" t="s">
        <v>82</v>
      </c>
      <c r="B7" s="28" t="s">
        <v>65</v>
      </c>
      <c r="C7" s="4" t="s">
        <v>75</v>
      </c>
      <c r="D7" s="30" t="s">
        <v>86</v>
      </c>
      <c r="E7" s="25" t="s">
        <v>34</v>
      </c>
      <c r="G7" s="7"/>
      <c r="H7" s="7"/>
      <c r="I7" s="7"/>
      <c r="J7" s="7"/>
      <c r="K7" s="7"/>
      <c r="L7" s="29">
        <v>430</v>
      </c>
    </row>
    <row r="8" spans="1:12" x14ac:dyDescent="0.3">
      <c r="A8" t="s">
        <v>82</v>
      </c>
      <c r="B8" s="28" t="s">
        <v>65</v>
      </c>
      <c r="C8" s="4" t="s">
        <v>77</v>
      </c>
      <c r="D8" s="30" t="s">
        <v>34</v>
      </c>
      <c r="E8" s="25" t="s">
        <v>34</v>
      </c>
      <c r="G8" s="7"/>
      <c r="H8" s="7"/>
      <c r="I8" s="7"/>
      <c r="J8" s="7"/>
      <c r="K8" s="7"/>
      <c r="L8" s="7"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62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David</v>
      </c>
      <c r="C24" s="16"/>
    </row>
    <row r="25" spans="1:4" x14ac:dyDescent="0.3">
      <c r="A25" s="10" t="s">
        <v>44</v>
      </c>
      <c r="B25" s="11" t="s">
        <v>58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68</v>
      </c>
      <c r="B28" s="10">
        <f>COUNTIF(D2:D8, "*:*")</f>
        <v>6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0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0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2570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41</v>
      </c>
      <c r="B2" s="2" t="s">
        <v>20</v>
      </c>
      <c r="C2" s="4" t="s">
        <v>24</v>
      </c>
      <c r="D2" s="5" t="s">
        <v>33</v>
      </c>
      <c r="E2" s="5" t="s">
        <v>32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 x14ac:dyDescent="0.3">
      <c r="A3" t="s">
        <v>41</v>
      </c>
      <c r="B3" s="2" t="s">
        <v>20</v>
      </c>
      <c r="C3" s="4" t="s">
        <v>25</v>
      </c>
      <c r="D3" s="5" t="s">
        <v>33</v>
      </c>
      <c r="E3" s="5" t="s">
        <v>32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 x14ac:dyDescent="0.3">
      <c r="A4" t="s">
        <v>41</v>
      </c>
      <c r="B4" s="2" t="s">
        <v>20</v>
      </c>
      <c r="C4" s="4" t="s">
        <v>26</v>
      </c>
      <c r="D4" s="5" t="s">
        <v>33</v>
      </c>
      <c r="E4" s="5" t="s">
        <v>32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 x14ac:dyDescent="0.3">
      <c r="A5" t="s">
        <v>41</v>
      </c>
      <c r="B5" s="2" t="s">
        <v>20</v>
      </c>
      <c r="C5" s="4" t="s">
        <v>27</v>
      </c>
      <c r="D5" s="5" t="s">
        <v>33</v>
      </c>
      <c r="E5" s="5" t="s">
        <v>32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 x14ac:dyDescent="0.3">
      <c r="A6" t="s">
        <v>41</v>
      </c>
      <c r="B6" s="2" t="s">
        <v>20</v>
      </c>
      <c r="C6" s="4" t="s">
        <v>28</v>
      </c>
      <c r="D6" s="5" t="s">
        <v>33</v>
      </c>
      <c r="E6" s="5" t="s">
        <v>32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 x14ac:dyDescent="0.3">
      <c r="A7" t="s">
        <v>41</v>
      </c>
      <c r="B7" s="2" t="s">
        <v>20</v>
      </c>
      <c r="C7" s="4" t="s">
        <v>29</v>
      </c>
      <c r="D7" s="5" t="s">
        <v>33</v>
      </c>
      <c r="E7" s="5" t="s">
        <v>32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 x14ac:dyDescent="0.3">
      <c r="A8" t="s">
        <v>41</v>
      </c>
      <c r="B8" s="2" t="s">
        <v>20</v>
      </c>
      <c r="C8" s="4" t="s">
        <v>30</v>
      </c>
      <c r="D8" s="5" t="s">
        <v>33</v>
      </c>
      <c r="E8" s="5" t="s">
        <v>32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 x14ac:dyDescent="0.3">
      <c r="A23" s="32" t="s">
        <v>42</v>
      </c>
      <c r="B23" s="32"/>
      <c r="C23" s="15"/>
      <c r="D23" s="9"/>
    </row>
    <row r="24" spans="1:4" x14ac:dyDescent="0.3">
      <c r="A24" s="10" t="s">
        <v>43</v>
      </c>
      <c r="B24" s="11" t="str">
        <f>A2</f>
        <v>Name</v>
      </c>
      <c r="C24" s="16"/>
    </row>
    <row r="25" spans="1:4" x14ac:dyDescent="0.3">
      <c r="A25" s="10" t="s">
        <v>44</v>
      </c>
      <c r="B25" s="11" t="s">
        <v>52</v>
      </c>
      <c r="C25" s="16"/>
    </row>
    <row r="26" spans="1:4" x14ac:dyDescent="0.3">
      <c r="A26" s="10" t="s">
        <v>45</v>
      </c>
      <c r="B26" s="12">
        <v>46041</v>
      </c>
      <c r="C26" s="16"/>
    </row>
    <row r="27" spans="1:4" x14ac:dyDescent="0.3">
      <c r="A27" s="10" t="s">
        <v>53</v>
      </c>
      <c r="B27" s="10" t="s">
        <v>54</v>
      </c>
      <c r="C27" s="16"/>
    </row>
    <row r="28" spans="1:4" x14ac:dyDescent="0.3">
      <c r="A28" s="10"/>
      <c r="B28" s="10"/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2692.2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807.66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3499.86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 x14ac:dyDescent="0.3"/>
  <cols>
    <col min="3" max="3" width="15.5546875" customWidth="1"/>
  </cols>
  <sheetData>
    <row r="1" spans="1:13" x14ac:dyDescent="0.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 x14ac:dyDescent="0.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 x14ac:dyDescent="0.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 x14ac:dyDescent="0.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 x14ac:dyDescent="0.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 x14ac:dyDescent="0.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 x14ac:dyDescent="0.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 x14ac:dyDescent="0.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 x14ac:dyDescent="0.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 x14ac:dyDescent="0.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 x14ac:dyDescent="0.3"/>
  <sheetData>
    <row r="1" spans="1:12" x14ac:dyDescent="0.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18</v>
      </c>
      <c r="B2" s="2">
        <v>46027</v>
      </c>
      <c r="C2" s="2"/>
      <c r="D2" s="1"/>
      <c r="E2" s="1"/>
    </row>
    <row r="3" spans="1:12" x14ac:dyDescent="0.3">
      <c r="A3" t="s">
        <v>18</v>
      </c>
      <c r="B3" s="2">
        <v>46028</v>
      </c>
      <c r="C3" s="2"/>
      <c r="D3" s="1"/>
      <c r="E3" s="1"/>
    </row>
    <row r="4" spans="1:12" x14ac:dyDescent="0.3">
      <c r="A4" t="s">
        <v>18</v>
      </c>
      <c r="B4" s="2">
        <v>46029</v>
      </c>
      <c r="C4" s="2"/>
      <c r="D4" s="1"/>
      <c r="E4" s="1"/>
    </row>
    <row r="5" spans="1:12" x14ac:dyDescent="0.3">
      <c r="A5" t="s">
        <v>18</v>
      </c>
      <c r="B5" s="2">
        <v>46030</v>
      </c>
      <c r="C5" s="2"/>
      <c r="D5" s="1"/>
      <c r="E5" s="1"/>
    </row>
    <row r="6" spans="1:12" x14ac:dyDescent="0.3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 x14ac:dyDescent="0.3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 x14ac:dyDescent="0.3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 x14ac:dyDescent="0.3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Jay Anne</vt:lpstr>
      <vt:lpstr>Kris</vt:lpstr>
      <vt:lpstr>Christian</vt:lpstr>
      <vt:lpstr>Cherry</vt:lpstr>
      <vt:lpstr>Aldrin</vt:lpstr>
      <vt:lpstr>Mark</vt:lpstr>
      <vt:lpstr>Chadiyah</vt:lpstr>
      <vt:lpstr>Lenard</vt:lpstr>
      <vt:lpstr>Rhea Mae</vt:lpstr>
      <vt:lpstr>David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2026-02-16T11:50:20Z</cp:lastPrinted>
  <dcterms:created xsi:type="dcterms:W3CDTF">2025-12-15T10:27:30Z</dcterms:created>
  <dcterms:modified xsi:type="dcterms:W3CDTF">2026-02-25T10:51:09Z</dcterms:modified>
</cp:coreProperties>
</file>