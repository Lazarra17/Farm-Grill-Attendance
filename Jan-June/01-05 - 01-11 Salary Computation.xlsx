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"/>
    </mc:Choice>
  </mc:AlternateContent>
  <xr:revisionPtr revIDLastSave="0" documentId="13_ncr:1_{E8BFFE3E-5BCF-4704-9506-B05E6154BE8B}" xr6:coauthVersionLast="47" xr6:coauthVersionMax="47" xr10:uidLastSave="{00000000-0000-0000-0000-000000000000}"/>
  <bookViews>
    <workbookView xWindow="-108" yWindow="-108" windowWidth="23256" windowHeight="13896" activeTab="6" xr2:uid="{00BF821E-BFB9-4523-9564-A672F7161683}"/>
  </bookViews>
  <sheets>
    <sheet name="Kris" sheetId="2" r:id="rId1"/>
    <sheet name="Jay Anne" sheetId="3" r:id="rId2"/>
    <sheet name="Cherry" sheetId="5" r:id="rId3"/>
    <sheet name="Christian" sheetId="6" r:id="rId4"/>
    <sheet name="Rhea Mae" sheetId="4" r:id="rId5"/>
    <sheet name="Aldrin" sheetId="7" r:id="rId6"/>
    <sheet name="Rhoda" sheetId="9" r:id="rId7"/>
    <sheet name="Chadiyah" sheetId="1" r:id="rId8"/>
    <sheet name="Kenneth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0" i="2" l="1"/>
  <c r="E27" i="2"/>
  <c r="L9" i="8"/>
  <c r="F21" i="2"/>
  <c r="F15" i="2"/>
  <c r="F16" i="2"/>
  <c r="F17" i="2"/>
  <c r="F18" i="2"/>
  <c r="F19" i="2"/>
  <c r="F20" i="2"/>
  <c r="F14" i="2"/>
  <c r="J8" i="1"/>
  <c r="K8" i="1"/>
  <c r="L8" i="1"/>
  <c r="J10" i="9"/>
  <c r="K10" i="9"/>
  <c r="L10" i="9"/>
  <c r="J9" i="7"/>
  <c r="K9" i="7"/>
  <c r="L9" i="7"/>
  <c r="J9" i="4"/>
  <c r="K9" i="4"/>
  <c r="L9" i="4"/>
  <c r="J9" i="6"/>
  <c r="K9" i="6"/>
  <c r="L9" i="6"/>
  <c r="J9" i="5"/>
  <c r="K9" i="5"/>
  <c r="L9" i="5"/>
  <c r="J9" i="3"/>
  <c r="K9" i="3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8" i="7"/>
  <c r="I8" i="7" s="1"/>
  <c r="K8" i="7" s="1"/>
  <c r="G7" i="7"/>
  <c r="I7" i="7" s="1"/>
  <c r="K7" i="7" s="1"/>
  <c r="G6" i="7"/>
  <c r="I6" i="7" s="1"/>
  <c r="G5" i="7"/>
  <c r="I5" i="7" s="1"/>
  <c r="K5" i="7" s="1"/>
  <c r="G4" i="7"/>
  <c r="H4" i="7" s="1"/>
  <c r="J4" i="7" s="1"/>
  <c r="G3" i="7"/>
  <c r="I3" i="7" s="1"/>
  <c r="K3" i="7" s="1"/>
  <c r="G8" i="6"/>
  <c r="H8" i="6" s="1"/>
  <c r="J8" i="6" s="1"/>
  <c r="G7" i="6"/>
  <c r="I7" i="6" s="1"/>
  <c r="K7" i="6" s="1"/>
  <c r="G6" i="6"/>
  <c r="I6" i="6" s="1"/>
  <c r="K6" i="6" s="1"/>
  <c r="G5" i="6"/>
  <c r="I5" i="6" s="1"/>
  <c r="K5" i="6" s="1"/>
  <c r="G4" i="6"/>
  <c r="I4" i="6" s="1"/>
  <c r="K4" i="6" s="1"/>
  <c r="G3" i="6"/>
  <c r="I3" i="6" s="1"/>
  <c r="K3" i="6" s="1"/>
  <c r="G2" i="6"/>
  <c r="I2" i="6" s="1"/>
  <c r="K2" i="6" s="1"/>
  <c r="G8" i="5"/>
  <c r="I8" i="5" s="1"/>
  <c r="K8" i="5" s="1"/>
  <c r="G7" i="5"/>
  <c r="I7" i="5" s="1"/>
  <c r="K7" i="5" s="1"/>
  <c r="G6" i="5"/>
  <c r="H6" i="5" s="1"/>
  <c r="J6" i="5" s="1"/>
  <c r="G5" i="5"/>
  <c r="I5" i="5" s="1"/>
  <c r="K5" i="5" s="1"/>
  <c r="G8" i="4"/>
  <c r="I8" i="4" s="1"/>
  <c r="G7" i="4"/>
  <c r="I7" i="4" s="1"/>
  <c r="G5" i="4"/>
  <c r="I5" i="4" s="1"/>
  <c r="G4" i="4"/>
  <c r="I4" i="4" s="1"/>
  <c r="K4" i="4" s="1"/>
  <c r="G3" i="4"/>
  <c r="H3" i="4" s="1"/>
  <c r="G2" i="4"/>
  <c r="I2" i="4" s="1"/>
  <c r="G8" i="3"/>
  <c r="I8" i="3" s="1"/>
  <c r="K8" i="3" s="1"/>
  <c r="G7" i="3"/>
  <c r="I7" i="3" s="1"/>
  <c r="G6" i="3"/>
  <c r="H6" i="3" s="1"/>
  <c r="J6" i="3" s="1"/>
  <c r="G5" i="3"/>
  <c r="I5" i="3" s="1"/>
  <c r="K5" i="3" s="1"/>
  <c r="G4" i="3"/>
  <c r="H4" i="3" s="1"/>
  <c r="J4" i="3" s="1"/>
  <c r="G3" i="3"/>
  <c r="I3" i="3" s="1"/>
  <c r="K3" i="3" s="1"/>
  <c r="G2" i="3"/>
  <c r="I2" i="3" s="1"/>
  <c r="K2" i="3" s="1"/>
  <c r="G7" i="1"/>
  <c r="I7" i="1" s="1"/>
  <c r="K7" i="1" s="1"/>
  <c r="G6" i="1"/>
  <c r="I6" i="1" s="1"/>
  <c r="G5" i="1"/>
  <c r="I5" i="1" s="1"/>
  <c r="K5" i="1" s="1"/>
  <c r="G4" i="1"/>
  <c r="H4" i="1" s="1"/>
  <c r="J4" i="1" s="1"/>
  <c r="G3" i="1"/>
  <c r="I3" i="1" s="1"/>
  <c r="K3" i="1" s="1"/>
  <c r="G2" i="1"/>
  <c r="I2" i="1" s="1"/>
  <c r="K2" i="1" s="1"/>
  <c r="G3" i="2"/>
  <c r="H3" i="2" s="1"/>
  <c r="J3" i="2" s="1"/>
  <c r="G4" i="2"/>
  <c r="H4" i="2" s="1"/>
  <c r="J4" i="2" s="1"/>
  <c r="G5" i="2"/>
  <c r="H5" i="2" s="1"/>
  <c r="J5" i="2" s="1"/>
  <c r="G6" i="2"/>
  <c r="H6" i="2" s="1"/>
  <c r="J6" i="2" s="1"/>
  <c r="G7" i="2"/>
  <c r="H7" i="2" s="1"/>
  <c r="J7" i="2" s="1"/>
  <c r="G8" i="2"/>
  <c r="I8" i="2" s="1"/>
  <c r="K8" i="2" s="1"/>
  <c r="G2" i="2"/>
  <c r="I2" i="2" s="1"/>
  <c r="K2" i="2" s="1"/>
  <c r="H8" i="2" l="1"/>
  <c r="J8" i="2" s="1"/>
  <c r="L8" i="2" s="1"/>
  <c r="L9" i="9"/>
  <c r="H8" i="4"/>
  <c r="J8" i="4" s="1"/>
  <c r="L8" i="4" s="1"/>
  <c r="I7" i="2"/>
  <c r="K7" i="2" s="1"/>
  <c r="L7" i="2" s="1"/>
  <c r="I5" i="2"/>
  <c r="K5" i="2" s="1"/>
  <c r="L5" i="2" s="1"/>
  <c r="I4" i="2"/>
  <c r="K4" i="2" s="1"/>
  <c r="L4" i="2" s="1"/>
  <c r="H2" i="4"/>
  <c r="J2" i="4" s="1"/>
  <c r="H7" i="4"/>
  <c r="J7" i="4" s="1"/>
  <c r="L7" i="4" s="1"/>
  <c r="H2" i="3"/>
  <c r="J2" i="3" s="1"/>
  <c r="L2" i="3" s="1"/>
  <c r="I4" i="7"/>
  <c r="K4" i="7" s="1"/>
  <c r="L4" i="7" s="1"/>
  <c r="H5" i="7"/>
  <c r="J5" i="7" s="1"/>
  <c r="L5" i="7" s="1"/>
  <c r="H6" i="9"/>
  <c r="J6" i="9" s="1"/>
  <c r="L6" i="9" s="1"/>
  <c r="H7" i="9"/>
  <c r="J7" i="9" s="1"/>
  <c r="I8" i="9"/>
  <c r="L8" i="9" s="1"/>
  <c r="H5" i="4"/>
  <c r="J5" i="4" s="1"/>
  <c r="H4" i="4"/>
  <c r="J4" i="4" s="1"/>
  <c r="L4" i="4" s="1"/>
  <c r="K7" i="4"/>
  <c r="K8" i="4"/>
  <c r="I3" i="4"/>
  <c r="K3" i="4" s="1"/>
  <c r="H3" i="3"/>
  <c r="J3" i="3" s="1"/>
  <c r="L3" i="3" s="1"/>
  <c r="H7" i="3"/>
  <c r="J7" i="3" s="1"/>
  <c r="L7" i="3" s="1"/>
  <c r="I4" i="3"/>
  <c r="K4" i="3" s="1"/>
  <c r="L4" i="3" s="1"/>
  <c r="H5" i="3"/>
  <c r="J5" i="3" s="1"/>
  <c r="L5" i="3" s="1"/>
  <c r="I4" i="1"/>
  <c r="K4" i="1" s="1"/>
  <c r="L4" i="1" s="1"/>
  <c r="K2" i="4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H7" i="7"/>
  <c r="J7" i="7" s="1"/>
  <c r="L7" i="7" s="1"/>
  <c r="H3" i="7"/>
  <c r="J3" i="7" s="1"/>
  <c r="L3" i="7" s="1"/>
  <c r="H8" i="7"/>
  <c r="J8" i="7" s="1"/>
  <c r="L8" i="7" s="1"/>
  <c r="H6" i="7"/>
  <c r="J6" i="7" s="1"/>
  <c r="L6" i="7" s="1"/>
  <c r="I8" i="6"/>
  <c r="K8" i="6" s="1"/>
  <c r="L8" i="6" s="1"/>
  <c r="H5" i="5"/>
  <c r="J5" i="5" s="1"/>
  <c r="L5" i="5" s="1"/>
  <c r="H6" i="6"/>
  <c r="J6" i="6" s="1"/>
  <c r="L6" i="6" s="1"/>
  <c r="H4" i="6"/>
  <c r="J4" i="6" s="1"/>
  <c r="L4" i="6" s="1"/>
  <c r="H2" i="6"/>
  <c r="J2" i="6" s="1"/>
  <c r="L2" i="6" s="1"/>
  <c r="H7" i="6"/>
  <c r="J7" i="6" s="1"/>
  <c r="L7" i="6" s="1"/>
  <c r="H5" i="6"/>
  <c r="J5" i="6" s="1"/>
  <c r="L5" i="6" s="1"/>
  <c r="H3" i="6"/>
  <c r="J3" i="6" s="1"/>
  <c r="L3" i="6" s="1"/>
  <c r="I6" i="5"/>
  <c r="K6" i="5" s="1"/>
  <c r="L6" i="5" s="1"/>
  <c r="H7" i="5"/>
  <c r="J7" i="5" s="1"/>
  <c r="L7" i="5" s="1"/>
  <c r="H8" i="5"/>
  <c r="J8" i="5" s="1"/>
  <c r="L8" i="5" s="1"/>
  <c r="K5" i="4"/>
  <c r="J3" i="4"/>
  <c r="I6" i="3"/>
  <c r="K6" i="3" s="1"/>
  <c r="L6" i="3" s="1"/>
  <c r="H8" i="3"/>
  <c r="J8" i="3" s="1"/>
  <c r="L8" i="3" s="1"/>
  <c r="H2" i="1"/>
  <c r="J2" i="1" s="1"/>
  <c r="L2" i="1" s="1"/>
  <c r="H7" i="1"/>
  <c r="J7" i="1" s="1"/>
  <c r="L7" i="1" s="1"/>
  <c r="H5" i="1"/>
  <c r="J5" i="1" s="1"/>
  <c r="L5" i="1" s="1"/>
  <c r="H3" i="1"/>
  <c r="J3" i="1" s="1"/>
  <c r="L3" i="1" s="1"/>
  <c r="H6" i="1"/>
  <c r="J6" i="1" s="1"/>
  <c r="L6" i="1" s="1"/>
  <c r="I3" i="2"/>
  <c r="K3" i="2" s="1"/>
  <c r="L3" i="2" s="1"/>
  <c r="H2" i="2"/>
  <c r="J2" i="2" s="1"/>
  <c r="I6" i="2"/>
  <c r="K6" i="2" s="1"/>
  <c r="L6" i="2" s="1"/>
  <c r="L2" i="2" l="1"/>
  <c r="J9" i="2"/>
  <c r="K9" i="2"/>
  <c r="L3" i="4"/>
  <c r="L5" i="4"/>
  <c r="L2" i="4"/>
  <c r="L9" i="2" l="1"/>
</calcChain>
</file>

<file path=xl/sharedStrings.xml><?xml version="1.0" encoding="utf-8"?>
<sst xmlns="http://schemas.openxmlformats.org/spreadsheetml/2006/main" count="247" uniqueCount="33">
  <si>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</si>
  <si>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</si>
  <si>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</si>
  <si>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</si>
  <si>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</si>
  <si>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</si>
  <si>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</si>
  <si>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</si>
  <si>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</si>
  <si>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</si>
  <si>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</si>
  <si>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</si>
  <si>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</si>
  <si>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</si>
  <si>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</si>
  <si>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Cris</t>
  </si>
  <si>
    <t>Cherry</t>
  </si>
  <si>
    <t>Christian</t>
  </si>
  <si>
    <t>Aldrin</t>
  </si>
  <si>
    <t>Kenneth</t>
  </si>
  <si>
    <t>Shift</t>
  </si>
  <si>
    <t>8:30AM-9:00PM</t>
  </si>
  <si>
    <t>10:00AM-9:00PM</t>
  </si>
  <si>
    <t>11AM-1PM : 5PM-10PM</t>
  </si>
  <si>
    <t>9:00AM-7:00PM</t>
  </si>
  <si>
    <t>8:00AM-6:00PM</t>
  </si>
  <si>
    <t>Deduction</t>
  </si>
  <si>
    <t>Charge</t>
  </si>
  <si>
    <t xml:space="preserve"> </t>
  </si>
  <si>
    <t xml:space="preserve">  </t>
  </si>
  <si>
    <t>Total Deduction</t>
  </si>
  <si>
    <t>GrandTotal</t>
  </si>
  <si>
    <t>doublepay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</si>
</sst>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30"/>
  <sheetViews>
    <sheetView workbookViewId="0">
      <selection activeCell="N27" sqref="N27"/>
    </sheetView>
  </sheetViews>
  <sheetFormatPr defaultColWidth="13.33203125" defaultRowHeight="14.4" x14ac:dyDescent="0.3"/>
  <cols>
    <col min="3" max="3" width="18.21875" customWidth="1"/>
  </cols>
  <sheetData>
    <row r="1" spans="1:12" x14ac:dyDescent="0.3">
      <c r="A1" t="s">
        <v>9</v>
      </c>
      <c r="B1" t="s">
        <v>11</v>
      </c>
      <c r="C1" t="s">
        <v>20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15</v>
      </c>
      <c r="B2" s="2">
        <v>46027</v>
      </c>
      <c r="C2" s="2" t="s">
        <v>21</v>
      </c>
      <c r="D2" s="1">
        <v>0.35416666666666669</v>
      </c>
      <c r="E2" s="1">
        <v>0.91666666666666663</v>
      </c>
      <c r="F2">
        <v>36.32</v>
      </c>
      <c r="G2">
        <f t="shared" ref="G2" si="0">(E2-D2)*24</f>
        <v>13.5</v>
      </c>
      <c r="H2">
        <f t="shared" ref="H2" si="1">MIN(G2,9)</f>
        <v>9</v>
      </c>
      <c r="I2">
        <f t="shared" ref="I2" si="2">MAX(G2-9,0) - 1</f>
        <v>3.5</v>
      </c>
      <c r="J2">
        <f t="shared" ref="J2" si="3">H2*F2</f>
        <v>326.88</v>
      </c>
      <c r="K2">
        <f t="shared" ref="K2" si="4">I2*F2*1.2</f>
        <v>152.54400000000001</v>
      </c>
      <c r="L2">
        <f t="shared" ref="L2" si="5">J2+K2</f>
        <v>479.42399999999998</v>
      </c>
    </row>
    <row r="3" spans="1:12" x14ac:dyDescent="0.3">
      <c r="A3" t="s">
        <v>15</v>
      </c>
      <c r="B3" s="2">
        <v>46028</v>
      </c>
      <c r="C3" s="2" t="s">
        <v>21</v>
      </c>
      <c r="D3" s="1">
        <v>0.35416666666666669</v>
      </c>
      <c r="E3" s="1">
        <v>0.91666666666666663</v>
      </c>
      <c r="F3">
        <v>36.32</v>
      </c>
      <c r="G3">
        <f t="shared" ref="G3:G8" si="6">(E3-D3)*24</f>
        <v>13.5</v>
      </c>
      <c r="H3">
        <f t="shared" ref="H3:H8" si="7">MIN(G3,9)</f>
        <v>9</v>
      </c>
      <c r="I3">
        <f t="shared" ref="I3:I8" si="8">MAX(G3-9,0) - 1</f>
        <v>3.5</v>
      </c>
      <c r="J3">
        <f t="shared" ref="J3:J8" si="9">H3*F3</f>
        <v>326.88</v>
      </c>
      <c r="K3">
        <f t="shared" ref="K3:K8" si="10">I3*F3*1.2</f>
        <v>152.54400000000001</v>
      </c>
      <c r="L3">
        <f t="shared" ref="L3:L9" si="11">J3+K3</f>
        <v>479.42399999999998</v>
      </c>
    </row>
    <row r="4" spans="1:12" x14ac:dyDescent="0.3">
      <c r="A4" t="s">
        <v>15</v>
      </c>
      <c r="B4" s="2">
        <v>46029</v>
      </c>
      <c r="C4" s="2" t="s">
        <v>21</v>
      </c>
      <c r="D4" s="1">
        <v>0.35416666666666669</v>
      </c>
      <c r="E4" s="1">
        <v>0.91666666666666663</v>
      </c>
      <c r="F4">
        <v>36.32</v>
      </c>
      <c r="G4">
        <f>(E4-D4)*24</f>
        <v>13.5</v>
      </c>
      <c r="H4">
        <f t="shared" si="7"/>
        <v>9</v>
      </c>
      <c r="I4">
        <f t="shared" si="8"/>
        <v>3.5</v>
      </c>
      <c r="J4">
        <f t="shared" si="9"/>
        <v>326.88</v>
      </c>
      <c r="K4">
        <f t="shared" si="10"/>
        <v>152.54400000000001</v>
      </c>
      <c r="L4">
        <f t="shared" si="11"/>
        <v>479.42399999999998</v>
      </c>
    </row>
    <row r="5" spans="1:12" x14ac:dyDescent="0.3">
      <c r="A5" t="s">
        <v>15</v>
      </c>
      <c r="B5" s="2">
        <v>46030</v>
      </c>
      <c r="C5" s="2" t="s">
        <v>21</v>
      </c>
      <c r="D5" s="1">
        <v>0.35416666666666669</v>
      </c>
      <c r="E5" s="1">
        <v>0.91666666666666663</v>
      </c>
      <c r="F5">
        <v>36.32</v>
      </c>
      <c r="G5">
        <f>(E5-D5)*24</f>
        <v>13.5</v>
      </c>
      <c r="H5">
        <f t="shared" si="7"/>
        <v>9</v>
      </c>
      <c r="I5">
        <f t="shared" si="8"/>
        <v>3.5</v>
      </c>
      <c r="J5">
        <f t="shared" si="9"/>
        <v>326.88</v>
      </c>
      <c r="K5">
        <f t="shared" si="10"/>
        <v>152.54400000000001</v>
      </c>
      <c r="L5">
        <f t="shared" si="11"/>
        <v>479.42399999999998</v>
      </c>
    </row>
    <row r="6" spans="1:12" x14ac:dyDescent="0.3">
      <c r="A6" t="s">
        <v>15</v>
      </c>
      <c r="B6" s="2">
        <v>46031</v>
      </c>
      <c r="C6" s="2" t="s">
        <v>21</v>
      </c>
      <c r="D6" s="1">
        <v>0.36319444444444443</v>
      </c>
      <c r="E6" s="1">
        <v>0.89583333333333337</v>
      </c>
      <c r="F6">
        <v>36.32</v>
      </c>
      <c r="G6">
        <f>(E6-D6)*24</f>
        <v>12.783333333333333</v>
      </c>
      <c r="H6">
        <f t="shared" si="7"/>
        <v>9</v>
      </c>
      <c r="I6">
        <f t="shared" si="8"/>
        <v>2.7833333333333332</v>
      </c>
      <c r="J6">
        <f t="shared" si="9"/>
        <v>326.88</v>
      </c>
      <c r="K6">
        <f t="shared" si="10"/>
        <v>121.30879999999999</v>
      </c>
      <c r="L6">
        <f t="shared" si="11"/>
        <v>448.18880000000001</v>
      </c>
    </row>
    <row r="7" spans="1:12" x14ac:dyDescent="0.3">
      <c r="A7" t="s">
        <v>15</v>
      </c>
      <c r="B7" s="2">
        <v>46032</v>
      </c>
      <c r="C7" s="2" t="s">
        <v>21</v>
      </c>
      <c r="D7" s="1">
        <v>0.375</v>
      </c>
      <c r="E7" s="1">
        <v>0.83333333333333337</v>
      </c>
      <c r="F7">
        <v>36.32</v>
      </c>
      <c r="G7">
        <f>(E7-D7)*24</f>
        <v>11</v>
      </c>
      <c r="H7">
        <f t="shared" si="7"/>
        <v>9</v>
      </c>
      <c r="I7">
        <f t="shared" si="8"/>
        <v>1</v>
      </c>
      <c r="J7">
        <f t="shared" si="9"/>
        <v>326.88</v>
      </c>
      <c r="K7">
        <f t="shared" si="10"/>
        <v>43.583999999999996</v>
      </c>
      <c r="L7">
        <f t="shared" si="11"/>
        <v>370.464</v>
      </c>
    </row>
    <row r="8" spans="1:12" x14ac:dyDescent="0.3">
      <c r="A8" t="s">
        <v>15</v>
      </c>
      <c r="B8" s="2">
        <v>46033</v>
      </c>
      <c r="C8" s="2" t="s">
        <v>21</v>
      </c>
      <c r="D8" s="1">
        <v>0.36736111111111114</v>
      </c>
      <c r="E8" s="1">
        <v>0.875</v>
      </c>
      <c r="F8">
        <v>36.32</v>
      </c>
      <c r="G8">
        <f t="shared" si="6"/>
        <v>12.183333333333334</v>
      </c>
      <c r="H8">
        <f t="shared" si="7"/>
        <v>9</v>
      </c>
      <c r="I8">
        <f t="shared" si="8"/>
        <v>2.1833333333333336</v>
      </c>
      <c r="J8">
        <f t="shared" si="9"/>
        <v>326.88</v>
      </c>
      <c r="K8">
        <f t="shared" si="10"/>
        <v>95.158400000000015</v>
      </c>
      <c r="L8">
        <f t="shared" si="11"/>
        <v>422.03840000000002</v>
      </c>
    </row>
    <row r="9" spans="1:12" x14ac:dyDescent="0.3">
      <c r="J9">
        <f>SUM(J2:J8)</f>
        <v>2288.1600000000003</v>
      </c>
      <c r="K9">
        <f>SUM(K2:K8)</f>
        <v>870.22720000000004</v>
      </c>
      <c r="L9">
        <f t="shared" si="11"/>
        <v>3158.3872000000001</v>
      </c>
    </row>
    <row r="13" spans="1:12" x14ac:dyDescent="0.3">
      <c r="B13" t="s">
        <v>5</v>
      </c>
      <c r="C13" t="s">
        <v>6</v>
      </c>
      <c r="D13" t="s">
        <v>26</v>
      </c>
      <c r="E13" t="s">
        <v>27</v>
      </c>
      <c r="F13" t="s">
        <v>30</v>
      </c>
      <c r="G13" t="s">
        <v>7</v>
      </c>
    </row>
    <row r="14" spans="1:12" x14ac:dyDescent="0.3">
      <c r="A14" t="s">
        <v>15</v>
      </c>
      <c r="B14">
        <v>2288.1600000000003</v>
      </c>
      <c r="C14">
        <v>870.22720000000004</v>
      </c>
      <c r="D14">
        <v>-890</v>
      </c>
      <c r="E14">
        <v>-89</v>
      </c>
      <c r="F14">
        <f>SUM(D14:E14)</f>
        <v>-979</v>
      </c>
      <c r="G14">
        <v>2179.3872000000001</v>
      </c>
    </row>
    <row r="15" spans="1:12" x14ac:dyDescent="0.3">
      <c r="A15" t="s">
        <v>12</v>
      </c>
      <c r="B15">
        <v>1884.3300000000002</v>
      </c>
      <c r="C15">
        <v>325.42079999999987</v>
      </c>
      <c r="D15">
        <v>-550</v>
      </c>
      <c r="E15">
        <v>-89</v>
      </c>
      <c r="F15">
        <f t="shared" ref="F15:F20" si="12">SUM(D15:E15)</f>
        <v>-639</v>
      </c>
      <c r="G15">
        <v>1570.7507999999998</v>
      </c>
    </row>
    <row r="16" spans="1:12" x14ac:dyDescent="0.3">
      <c r="A16" t="s">
        <v>16</v>
      </c>
      <c r="B16">
        <v>1076.76</v>
      </c>
      <c r="C16">
        <v>324.82259999999985</v>
      </c>
      <c r="E16">
        <v>-89</v>
      </c>
      <c r="F16">
        <f t="shared" si="12"/>
        <v>-89</v>
      </c>
      <c r="G16">
        <v>1312.5825999999997</v>
      </c>
    </row>
    <row r="17" spans="1:7" x14ac:dyDescent="0.3">
      <c r="A17" t="s">
        <v>17</v>
      </c>
      <c r="B17">
        <v>2288.1600000000003</v>
      </c>
      <c r="C17">
        <v>1002.4320000000002</v>
      </c>
      <c r="D17">
        <v>-650</v>
      </c>
      <c r="E17">
        <v>-89</v>
      </c>
      <c r="F17">
        <f t="shared" si="12"/>
        <v>-739</v>
      </c>
      <c r="G17">
        <v>2551.5920000000006</v>
      </c>
    </row>
    <row r="18" spans="1:7" x14ac:dyDescent="0.3">
      <c r="A18" t="s">
        <v>14</v>
      </c>
      <c r="B18">
        <v>2307.6</v>
      </c>
      <c r="C18">
        <v>669.20400000000006</v>
      </c>
      <c r="D18">
        <v>-145</v>
      </c>
      <c r="F18">
        <f t="shared" si="12"/>
        <v>-145</v>
      </c>
      <c r="G18">
        <v>2831.8040000000001</v>
      </c>
    </row>
    <row r="19" spans="1:7" x14ac:dyDescent="0.3">
      <c r="A19" t="s">
        <v>18</v>
      </c>
      <c r="B19">
        <v>1199.8799999999999</v>
      </c>
      <c r="C19">
        <v>317.30159999999995</v>
      </c>
      <c r="D19">
        <v>-530</v>
      </c>
      <c r="E19">
        <v>-89</v>
      </c>
      <c r="F19">
        <f t="shared" si="12"/>
        <v>-619</v>
      </c>
      <c r="G19">
        <v>898.18159999999989</v>
      </c>
    </row>
    <row r="20" spans="1:7" x14ac:dyDescent="0.3">
      <c r="A20" t="s">
        <v>13</v>
      </c>
      <c r="B20">
        <v>2153.52</v>
      </c>
      <c r="C20">
        <v>711.85800000000006</v>
      </c>
      <c r="D20">
        <v>-1789</v>
      </c>
      <c r="E20">
        <v>-89</v>
      </c>
      <c r="F20">
        <f t="shared" si="12"/>
        <v>-1878</v>
      </c>
      <c r="G20">
        <v>987.37800000000016</v>
      </c>
    </row>
    <row r="21" spans="1:7" x14ac:dyDescent="0.3">
      <c r="A21" t="s">
        <v>10</v>
      </c>
      <c r="B21">
        <v>1777.9296666666664</v>
      </c>
      <c r="C21">
        <v>563.96999999999991</v>
      </c>
      <c r="D21">
        <v>-300</v>
      </c>
      <c r="F21">
        <f>SUM(B21:E21)</f>
        <v>2041.8996666666662</v>
      </c>
      <c r="G21">
        <v>1952.8996666666662</v>
      </c>
    </row>
    <row r="25" spans="1:7" x14ac:dyDescent="0.3">
      <c r="E25" t="s">
        <v>28</v>
      </c>
    </row>
    <row r="26" spans="1:7" x14ac:dyDescent="0.3">
      <c r="C26">
        <v>2153.52</v>
      </c>
      <c r="D26">
        <v>711.85800000000006</v>
      </c>
      <c r="E26">
        <v>3134.1880000000001</v>
      </c>
    </row>
    <row r="27" spans="1:7" x14ac:dyDescent="0.3">
      <c r="E27">
        <f>E26+D20</f>
        <v>1345.1880000000001</v>
      </c>
    </row>
    <row r="29" spans="1:7" x14ac:dyDescent="0.3">
      <c r="E29" t="s">
        <v>7</v>
      </c>
      <c r="F29" t="s">
        <v>26</v>
      </c>
      <c r="G29" t="s">
        <v>31</v>
      </c>
    </row>
    <row r="30" spans="1:7" x14ac:dyDescent="0.3">
      <c r="E30">
        <v>3134.1880000000001</v>
      </c>
      <c r="F30">
        <v>-1789</v>
      </c>
      <c r="G30">
        <f>E30+F30</f>
        <v>1345.1880000000001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9"/>
  <sheetViews>
    <sheetView workbookViewId="0">
      <selection activeCell="L9" sqref="J9:L9"/>
    </sheetView>
  </sheetViews>
  <sheetFormatPr defaultColWidth="13.77734375" defaultRowHeight="14.4" x14ac:dyDescent="0.3"/>
  <cols>
    <col min="3" max="3" width="17.21875" customWidth="1"/>
  </cols>
  <sheetData>
    <row r="1" spans="1:12" x14ac:dyDescent="0.3">
      <c r="A1" t="s">
        <v>9</v>
      </c>
      <c r="B1" t="s">
        <v>11</v>
      </c>
      <c r="C1" t="s">
        <v>20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12</v>
      </c>
      <c r="B2" s="2">
        <v>46027</v>
      </c>
      <c r="C2" s="2" t="s">
        <v>22</v>
      </c>
      <c r="D2" s="1">
        <v>0.42708333333333331</v>
      </c>
      <c r="E2" s="1">
        <v>0.91666666666666663</v>
      </c>
      <c r="F2">
        <v>29.91</v>
      </c>
      <c r="G2">
        <f t="shared" ref="G2:G8" si="0">(E2-D2)*24</f>
        <v>11.75</v>
      </c>
      <c r="H2">
        <f t="shared" ref="H2:H8" si="1">MIN(G2,9)</f>
        <v>9</v>
      </c>
      <c r="I2">
        <f t="shared" ref="I2:I8" si="2">MAX(G2-9,0) - 1</f>
        <v>1.75</v>
      </c>
      <c r="J2">
        <f t="shared" ref="J2:J8" si="3">H2*F2</f>
        <v>269.19</v>
      </c>
      <c r="K2">
        <f t="shared" ref="K2:K8" si="4">I2*F2*1.2</f>
        <v>62.811</v>
      </c>
      <c r="L2">
        <f t="shared" ref="L2:L8" si="5">J2+K2</f>
        <v>332.00099999999998</v>
      </c>
    </row>
    <row r="3" spans="1:12" x14ac:dyDescent="0.3">
      <c r="A3" t="s">
        <v>12</v>
      </c>
      <c r="B3" s="2">
        <v>46028</v>
      </c>
      <c r="C3" s="2" t="s">
        <v>22</v>
      </c>
      <c r="D3" s="1">
        <v>0.41875000000000001</v>
      </c>
      <c r="E3" s="1">
        <v>0.91666666666666663</v>
      </c>
      <c r="F3">
        <v>29.91</v>
      </c>
      <c r="G3">
        <f t="shared" si="0"/>
        <v>11.95</v>
      </c>
      <c r="H3">
        <f t="shared" si="1"/>
        <v>9</v>
      </c>
      <c r="I3">
        <f t="shared" si="2"/>
        <v>1.9499999999999993</v>
      </c>
      <c r="J3">
        <f t="shared" si="3"/>
        <v>269.19</v>
      </c>
      <c r="K3">
        <f t="shared" si="4"/>
        <v>69.989399999999975</v>
      </c>
      <c r="L3">
        <f t="shared" si="5"/>
        <v>339.17939999999999</v>
      </c>
    </row>
    <row r="4" spans="1:12" x14ac:dyDescent="0.3">
      <c r="A4" t="s">
        <v>12</v>
      </c>
      <c r="B4" s="2">
        <v>46029</v>
      </c>
      <c r="C4" s="2" t="s">
        <v>22</v>
      </c>
      <c r="D4" s="1">
        <v>0.40416666666666667</v>
      </c>
      <c r="E4" s="1">
        <v>0.91666666666666663</v>
      </c>
      <c r="F4">
        <v>29.91</v>
      </c>
      <c r="G4">
        <f t="shared" si="0"/>
        <v>12.299999999999999</v>
      </c>
      <c r="H4">
        <f t="shared" si="1"/>
        <v>9</v>
      </c>
      <c r="I4">
        <f t="shared" si="2"/>
        <v>2.2999999999999989</v>
      </c>
      <c r="J4">
        <f t="shared" si="3"/>
        <v>269.19</v>
      </c>
      <c r="K4">
        <f t="shared" si="4"/>
        <v>82.551599999999951</v>
      </c>
      <c r="L4">
        <f t="shared" si="5"/>
        <v>351.74159999999995</v>
      </c>
    </row>
    <row r="5" spans="1:12" x14ac:dyDescent="0.3">
      <c r="A5" t="s">
        <v>12</v>
      </c>
      <c r="B5" s="2">
        <v>46030</v>
      </c>
      <c r="C5" s="2" t="s">
        <v>22</v>
      </c>
      <c r="D5" s="1">
        <v>0.40555555555555556</v>
      </c>
      <c r="E5" s="1">
        <v>0.875</v>
      </c>
      <c r="F5">
        <v>29.91</v>
      </c>
      <c r="G5">
        <f t="shared" si="0"/>
        <v>11.266666666666666</v>
      </c>
      <c r="H5">
        <f t="shared" si="1"/>
        <v>9</v>
      </c>
      <c r="I5">
        <f t="shared" si="2"/>
        <v>1.2666666666666657</v>
      </c>
      <c r="J5">
        <f t="shared" si="3"/>
        <v>269.19</v>
      </c>
      <c r="K5">
        <f t="shared" si="4"/>
        <v>45.463199999999965</v>
      </c>
      <c r="L5">
        <f t="shared" si="5"/>
        <v>314.65319999999997</v>
      </c>
    </row>
    <row r="6" spans="1:12" x14ac:dyDescent="0.3">
      <c r="A6" t="s">
        <v>12</v>
      </c>
      <c r="B6" s="2">
        <v>46031</v>
      </c>
      <c r="C6" s="2" t="s">
        <v>22</v>
      </c>
      <c r="D6" s="1">
        <v>0.41736111111111113</v>
      </c>
      <c r="E6" s="1">
        <v>0.875</v>
      </c>
      <c r="F6">
        <v>29.91</v>
      </c>
      <c r="G6">
        <f t="shared" si="0"/>
        <v>10.983333333333333</v>
      </c>
      <c r="H6">
        <f t="shared" si="1"/>
        <v>9</v>
      </c>
      <c r="I6">
        <f t="shared" si="2"/>
        <v>0.9833333333333325</v>
      </c>
      <c r="J6">
        <f t="shared" si="3"/>
        <v>269.19</v>
      </c>
      <c r="K6">
        <f t="shared" si="4"/>
        <v>35.293799999999969</v>
      </c>
      <c r="L6">
        <f t="shared" si="5"/>
        <v>304.48379999999997</v>
      </c>
    </row>
    <row r="7" spans="1:12" x14ac:dyDescent="0.3">
      <c r="A7" t="s">
        <v>12</v>
      </c>
      <c r="B7" s="2">
        <v>46032</v>
      </c>
      <c r="C7" s="2" t="s">
        <v>22</v>
      </c>
      <c r="D7" s="1">
        <v>0.4236111111111111</v>
      </c>
      <c r="E7" s="1">
        <v>0.83611111111111114</v>
      </c>
      <c r="F7">
        <v>29.91</v>
      </c>
      <c r="G7">
        <f t="shared" si="0"/>
        <v>9.9</v>
      </c>
      <c r="H7">
        <f t="shared" si="1"/>
        <v>9</v>
      </c>
      <c r="I7">
        <f t="shared" si="2"/>
        <v>-9.9999999999999645E-2</v>
      </c>
      <c r="J7">
        <f t="shared" si="3"/>
        <v>269.19</v>
      </c>
      <c r="L7">
        <f t="shared" si="5"/>
        <v>269.19</v>
      </c>
    </row>
    <row r="8" spans="1:12" x14ac:dyDescent="0.3">
      <c r="A8" t="s">
        <v>12</v>
      </c>
      <c r="B8" s="2">
        <v>46033</v>
      </c>
      <c r="C8" s="2" t="s">
        <v>22</v>
      </c>
      <c r="D8" s="1">
        <v>0.42430555555555555</v>
      </c>
      <c r="E8" s="1">
        <v>0.875</v>
      </c>
      <c r="F8">
        <v>29.91</v>
      </c>
      <c r="G8">
        <f t="shared" si="0"/>
        <v>10.816666666666666</v>
      </c>
      <c r="H8">
        <f t="shared" si="1"/>
        <v>9</v>
      </c>
      <c r="I8">
        <f t="shared" si="2"/>
        <v>0.81666666666666643</v>
      </c>
      <c r="J8">
        <f t="shared" si="3"/>
        <v>269.19</v>
      </c>
      <c r="K8">
        <f t="shared" si="4"/>
        <v>29.311799999999991</v>
      </c>
      <c r="L8">
        <f t="shared" si="5"/>
        <v>298.5018</v>
      </c>
    </row>
    <row r="9" spans="1:12" x14ac:dyDescent="0.3">
      <c r="J9">
        <f>SUM(J2:J8)</f>
        <v>1884.3300000000002</v>
      </c>
      <c r="K9">
        <f>SUM(K2:K8)</f>
        <v>325.42079999999987</v>
      </c>
      <c r="L9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9"/>
  <sheetViews>
    <sheetView workbookViewId="0">
      <selection activeCell="B5" sqref="B5"/>
    </sheetView>
  </sheetViews>
  <sheetFormatPr defaultColWidth="14" defaultRowHeight="14.4" x14ac:dyDescent="0.3"/>
  <cols>
    <col min="3" max="3" width="16.5546875" customWidth="1"/>
  </cols>
  <sheetData>
    <row r="1" spans="1:12" x14ac:dyDescent="0.3">
      <c r="A1" t="s">
        <v>9</v>
      </c>
      <c r="B1" t="s">
        <v>11</v>
      </c>
      <c r="C1" t="s">
        <v>20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16</v>
      </c>
      <c r="B2" s="2">
        <v>46027</v>
      </c>
      <c r="C2" s="2" t="s">
        <v>21</v>
      </c>
      <c r="D2" s="1"/>
      <c r="E2" s="1"/>
    </row>
    <row r="3" spans="1:12" x14ac:dyDescent="0.3">
      <c r="A3" t="s">
        <v>16</v>
      </c>
      <c r="B3" s="2">
        <v>46028</v>
      </c>
      <c r="C3" s="2" t="s">
        <v>21</v>
      </c>
      <c r="D3" s="1"/>
      <c r="E3" s="1"/>
    </row>
    <row r="4" spans="1:12" x14ac:dyDescent="0.3">
      <c r="A4" t="s">
        <v>16</v>
      </c>
      <c r="B4" s="2">
        <v>46029</v>
      </c>
      <c r="C4" s="2" t="s">
        <v>21</v>
      </c>
      <c r="D4" s="1"/>
      <c r="E4" s="1"/>
    </row>
    <row r="5" spans="1:12" x14ac:dyDescent="0.3">
      <c r="A5" t="s">
        <v>16</v>
      </c>
      <c r="B5" s="2">
        <v>46030</v>
      </c>
      <c r="C5" s="2" t="s">
        <v>21</v>
      </c>
      <c r="D5" s="1">
        <v>0.35416666666666669</v>
      </c>
      <c r="E5" s="1">
        <v>0.875</v>
      </c>
      <c r="F5">
        <v>29.91</v>
      </c>
      <c r="G5">
        <f t="shared" ref="G5:G8" si="0">(E5-D5)*24</f>
        <v>12.499999999999998</v>
      </c>
      <c r="H5">
        <f t="shared" ref="H5:H8" si="1">MIN(G5,9)</f>
        <v>9</v>
      </c>
      <c r="I5">
        <f t="shared" ref="I5:I8" si="2">MAX(G5-9,0) - 1</f>
        <v>2.4999999999999982</v>
      </c>
      <c r="J5">
        <f t="shared" ref="J5:J8" si="3">H5*F5</f>
        <v>269.19</v>
      </c>
      <c r="K5">
        <f t="shared" ref="K5:K8" si="4">I5*F5*1.2</f>
        <v>89.729999999999933</v>
      </c>
      <c r="L5">
        <f t="shared" ref="L5:L8" si="5">J5+K5</f>
        <v>358.91999999999996</v>
      </c>
    </row>
    <row r="6" spans="1:12" x14ac:dyDescent="0.3">
      <c r="A6" t="s">
        <v>16</v>
      </c>
      <c r="B6" s="2">
        <v>46031</v>
      </c>
      <c r="C6" s="2" t="s">
        <v>21</v>
      </c>
      <c r="D6" s="1">
        <v>0.35416666666666669</v>
      </c>
      <c r="E6" s="1">
        <v>0.875</v>
      </c>
      <c r="F6">
        <v>29.91</v>
      </c>
      <c r="G6">
        <f t="shared" si="0"/>
        <v>12.499999999999998</v>
      </c>
      <c r="H6">
        <f t="shared" si="1"/>
        <v>9</v>
      </c>
      <c r="I6">
        <f t="shared" si="2"/>
        <v>2.4999999999999982</v>
      </c>
      <c r="J6">
        <f t="shared" si="3"/>
        <v>269.19</v>
      </c>
      <c r="K6">
        <f t="shared" si="4"/>
        <v>89.729999999999933</v>
      </c>
      <c r="L6">
        <f t="shared" si="5"/>
        <v>358.91999999999996</v>
      </c>
    </row>
    <row r="7" spans="1:12" x14ac:dyDescent="0.3">
      <c r="A7" t="s">
        <v>16</v>
      </c>
      <c r="B7" s="2">
        <v>46032</v>
      </c>
      <c r="C7" s="2" t="s">
        <v>21</v>
      </c>
      <c r="D7" s="1">
        <v>0.35416666666666669</v>
      </c>
      <c r="E7" s="1">
        <v>0.8354166666666667</v>
      </c>
      <c r="F7">
        <v>29.91</v>
      </c>
      <c r="G7">
        <f t="shared" si="0"/>
        <v>11.55</v>
      </c>
      <c r="H7">
        <f t="shared" si="1"/>
        <v>9</v>
      </c>
      <c r="I7">
        <f t="shared" si="2"/>
        <v>1.5500000000000007</v>
      </c>
      <c r="J7">
        <f t="shared" si="3"/>
        <v>269.19</v>
      </c>
      <c r="K7">
        <f t="shared" si="4"/>
        <v>55.632600000000025</v>
      </c>
      <c r="L7">
        <f t="shared" si="5"/>
        <v>324.82260000000002</v>
      </c>
    </row>
    <row r="8" spans="1:12" x14ac:dyDescent="0.3">
      <c r="A8" t="s">
        <v>16</v>
      </c>
      <c r="B8" s="2">
        <v>46033</v>
      </c>
      <c r="C8" s="2" t="s">
        <v>21</v>
      </c>
      <c r="D8" s="1">
        <v>0.35416666666666669</v>
      </c>
      <c r="E8" s="1">
        <v>0.875</v>
      </c>
      <c r="F8">
        <v>29.91</v>
      </c>
      <c r="G8">
        <f t="shared" si="0"/>
        <v>12.499999999999998</v>
      </c>
      <c r="H8">
        <f t="shared" si="1"/>
        <v>9</v>
      </c>
      <c r="I8">
        <f t="shared" si="2"/>
        <v>2.4999999999999982</v>
      </c>
      <c r="J8">
        <f t="shared" si="3"/>
        <v>269.19</v>
      </c>
      <c r="K8">
        <f t="shared" si="4"/>
        <v>89.729999999999933</v>
      </c>
      <c r="L8">
        <f t="shared" si="5"/>
        <v>358.91999999999996</v>
      </c>
    </row>
    <row r="9" spans="1:12" x14ac:dyDescent="0.3">
      <c r="J9">
        <f>SUM(J5:J8)</f>
        <v>1076.76</v>
      </c>
      <c r="K9">
        <f>SUM(K5:K8)</f>
        <v>324.82259999999985</v>
      </c>
      <c r="L9">
        <f>SUM(L5:L8)</f>
        <v>1401.5825999999997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9"/>
  <sheetViews>
    <sheetView workbookViewId="0">
      <selection activeCell="L9" sqref="J9:L9"/>
    </sheetView>
  </sheetViews>
  <sheetFormatPr defaultColWidth="13.33203125" defaultRowHeight="14.4" x14ac:dyDescent="0.3"/>
  <cols>
    <col min="3" max="3" width="13.77734375"/>
  </cols>
  <sheetData>
    <row r="1" spans="1:12" x14ac:dyDescent="0.3">
      <c r="A1" t="s">
        <v>9</v>
      </c>
      <c r="B1" t="s">
        <v>11</v>
      </c>
      <c r="C1" t="s">
        <v>20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17</v>
      </c>
      <c r="B2" s="2">
        <v>46027</v>
      </c>
      <c r="C2" s="2" t="s">
        <v>21</v>
      </c>
      <c r="D2" s="1">
        <v>0.35416666666666669</v>
      </c>
      <c r="E2" s="1">
        <v>0.91666666666666663</v>
      </c>
      <c r="F2">
        <v>36.32</v>
      </c>
      <c r="G2">
        <f t="shared" ref="G2:G8" si="0">(E2-D2)*24</f>
        <v>13.5</v>
      </c>
      <c r="H2">
        <f t="shared" ref="H2:H8" si="1">MIN(G2,9)</f>
        <v>9</v>
      </c>
      <c r="I2">
        <f t="shared" ref="I2:I8" si="2">MAX(G2-9,0) - 1</f>
        <v>3.5</v>
      </c>
      <c r="J2">
        <f t="shared" ref="J2:J8" si="3">H2*F2</f>
        <v>326.88</v>
      </c>
      <c r="K2">
        <f t="shared" ref="K2:K8" si="4">I2*F2*1.2</f>
        <v>152.54400000000001</v>
      </c>
      <c r="L2">
        <f t="shared" ref="L2:L8" si="5">J2+K2</f>
        <v>479.42399999999998</v>
      </c>
    </row>
    <row r="3" spans="1:12" x14ac:dyDescent="0.3">
      <c r="A3" t="s">
        <v>17</v>
      </c>
      <c r="B3" s="2">
        <v>46028</v>
      </c>
      <c r="C3" s="2" t="s">
        <v>21</v>
      </c>
      <c r="D3" s="1">
        <v>0.35416666666666669</v>
      </c>
      <c r="E3" s="1">
        <v>0.91666666666666663</v>
      </c>
      <c r="F3">
        <v>36.32</v>
      </c>
      <c r="G3">
        <f t="shared" si="0"/>
        <v>13.5</v>
      </c>
      <c r="H3">
        <f t="shared" si="1"/>
        <v>9</v>
      </c>
      <c r="I3">
        <f t="shared" si="2"/>
        <v>3.5</v>
      </c>
      <c r="J3">
        <f t="shared" si="3"/>
        <v>326.88</v>
      </c>
      <c r="K3">
        <f t="shared" si="4"/>
        <v>152.54400000000001</v>
      </c>
      <c r="L3">
        <f t="shared" si="5"/>
        <v>479.42399999999998</v>
      </c>
    </row>
    <row r="4" spans="1:12" x14ac:dyDescent="0.3">
      <c r="A4" t="s">
        <v>17</v>
      </c>
      <c r="B4" s="2">
        <v>46029</v>
      </c>
      <c r="C4" s="2" t="s">
        <v>21</v>
      </c>
      <c r="D4" s="1">
        <v>0.35416666666666669</v>
      </c>
      <c r="E4" s="1">
        <v>0.91666666666666663</v>
      </c>
      <c r="F4">
        <v>36.32</v>
      </c>
      <c r="G4">
        <f t="shared" si="0"/>
        <v>13.5</v>
      </c>
      <c r="H4">
        <f t="shared" si="1"/>
        <v>9</v>
      </c>
      <c r="I4">
        <f t="shared" si="2"/>
        <v>3.5</v>
      </c>
      <c r="J4">
        <f t="shared" si="3"/>
        <v>326.88</v>
      </c>
      <c r="K4">
        <f t="shared" si="4"/>
        <v>152.54400000000001</v>
      </c>
      <c r="L4">
        <f t="shared" si="5"/>
        <v>479.42399999999998</v>
      </c>
    </row>
    <row r="5" spans="1:12" x14ac:dyDescent="0.3">
      <c r="A5" t="s">
        <v>17</v>
      </c>
      <c r="B5" s="2">
        <v>46030</v>
      </c>
      <c r="C5" s="2" t="s">
        <v>21</v>
      </c>
      <c r="D5" s="1">
        <v>0.35416666666666669</v>
      </c>
      <c r="E5" s="1">
        <v>0.91666666666666663</v>
      </c>
      <c r="F5">
        <v>36.32</v>
      </c>
      <c r="G5">
        <f t="shared" si="0"/>
        <v>13.5</v>
      </c>
      <c r="H5">
        <f t="shared" si="1"/>
        <v>9</v>
      </c>
      <c r="I5">
        <f t="shared" si="2"/>
        <v>3.5</v>
      </c>
      <c r="J5">
        <f t="shared" si="3"/>
        <v>326.88</v>
      </c>
      <c r="K5">
        <f t="shared" si="4"/>
        <v>152.54400000000001</v>
      </c>
      <c r="L5">
        <f t="shared" si="5"/>
        <v>479.42399999999998</v>
      </c>
    </row>
    <row r="6" spans="1:12" x14ac:dyDescent="0.3">
      <c r="A6" t="s">
        <v>17</v>
      </c>
      <c r="B6" s="2">
        <v>46031</v>
      </c>
      <c r="C6" s="2" t="s">
        <v>21</v>
      </c>
      <c r="D6" s="1">
        <v>0.35416666666666669</v>
      </c>
      <c r="E6" s="1">
        <v>0.89583333333333337</v>
      </c>
      <c r="F6">
        <v>36.32</v>
      </c>
      <c r="G6">
        <f t="shared" si="0"/>
        <v>13.000000000000002</v>
      </c>
      <c r="H6">
        <f t="shared" si="1"/>
        <v>9</v>
      </c>
      <c r="I6">
        <f t="shared" si="2"/>
        <v>3.0000000000000018</v>
      </c>
      <c r="J6">
        <f t="shared" si="3"/>
        <v>326.88</v>
      </c>
      <c r="K6">
        <f t="shared" si="4"/>
        <v>130.75200000000007</v>
      </c>
      <c r="L6">
        <f t="shared" si="5"/>
        <v>457.63200000000006</v>
      </c>
    </row>
    <row r="7" spans="1:12" x14ac:dyDescent="0.3">
      <c r="A7" t="s">
        <v>17</v>
      </c>
      <c r="B7" s="2">
        <v>46032</v>
      </c>
      <c r="C7" s="2" t="s">
        <v>21</v>
      </c>
      <c r="D7" s="1">
        <v>0.35416666666666669</v>
      </c>
      <c r="E7" s="1">
        <v>0.89583333333333337</v>
      </c>
      <c r="F7">
        <v>36.32</v>
      </c>
      <c r="G7">
        <f t="shared" si="0"/>
        <v>13.000000000000002</v>
      </c>
      <c r="H7">
        <f t="shared" si="1"/>
        <v>9</v>
      </c>
      <c r="I7">
        <f t="shared" si="2"/>
        <v>3.0000000000000018</v>
      </c>
      <c r="J7">
        <f t="shared" si="3"/>
        <v>326.88</v>
      </c>
      <c r="K7">
        <f t="shared" si="4"/>
        <v>130.75200000000007</v>
      </c>
      <c r="L7">
        <f t="shared" si="5"/>
        <v>457.63200000000006</v>
      </c>
    </row>
    <row r="8" spans="1:12" x14ac:dyDescent="0.3">
      <c r="A8" t="s">
        <v>17</v>
      </c>
      <c r="B8" s="2">
        <v>46033</v>
      </c>
      <c r="C8" s="2" t="s">
        <v>21</v>
      </c>
      <c r="D8" s="1">
        <v>0.35416666666666669</v>
      </c>
      <c r="E8" s="1">
        <v>0.89583333333333337</v>
      </c>
      <c r="F8">
        <v>36.32</v>
      </c>
      <c r="G8">
        <f t="shared" si="0"/>
        <v>13.000000000000002</v>
      </c>
      <c r="H8">
        <f t="shared" si="1"/>
        <v>9</v>
      </c>
      <c r="I8">
        <f t="shared" si="2"/>
        <v>3.0000000000000018</v>
      </c>
      <c r="J8">
        <f t="shared" si="3"/>
        <v>326.88</v>
      </c>
      <c r="K8">
        <f t="shared" si="4"/>
        <v>130.75200000000007</v>
      </c>
      <c r="L8">
        <f t="shared" si="5"/>
        <v>457.63200000000006</v>
      </c>
    </row>
    <row r="9" spans="1:12" x14ac:dyDescent="0.3">
      <c r="J9">
        <f>SUM(J2:J8)</f>
        <v>2288.1600000000003</v>
      </c>
      <c r="K9">
        <f>SUM(K2:K8)</f>
        <v>1002.4320000000002</v>
      </c>
      <c r="L9">
        <f>SUM(L2:L8)</f>
        <v>3290.5920000000001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9"/>
  <sheetViews>
    <sheetView workbookViewId="0">
      <selection activeCell="L9" sqref="J9:L9"/>
    </sheetView>
  </sheetViews>
  <sheetFormatPr defaultColWidth="15.44140625" defaultRowHeight="14.4" x14ac:dyDescent="0.3"/>
  <sheetData>
    <row r="1" spans="1:12" x14ac:dyDescent="0.3">
      <c r="A1" t="s">
        <v>9</v>
      </c>
      <c r="B1" t="s">
        <v>11</v>
      </c>
      <c r="C1" t="s">
        <v>20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14</v>
      </c>
      <c r="B2" s="2">
        <v>46027</v>
      </c>
      <c r="C2" s="2" t="s">
        <v>21</v>
      </c>
      <c r="D2" s="1">
        <v>0.35416666666666669</v>
      </c>
      <c r="E2" s="1">
        <v>0.91666666666666663</v>
      </c>
      <c r="F2">
        <v>38.46</v>
      </c>
      <c r="G2">
        <f t="shared" ref="G2:G8" si="0">(E2-D2)*24</f>
        <v>13.5</v>
      </c>
      <c r="H2">
        <f>MIN(G2,10)</f>
        <v>10</v>
      </c>
      <c r="I2">
        <f>MAX(G2-10,0) - 1</f>
        <v>2.5</v>
      </c>
      <c r="J2">
        <f t="shared" ref="J2:J8" si="1">H2*F2</f>
        <v>384.6</v>
      </c>
      <c r="K2">
        <f t="shared" ref="K2:K8" si="2">I2*F2*1.2</f>
        <v>115.38</v>
      </c>
      <c r="L2">
        <f t="shared" ref="L2:L8" si="3">J2+K2</f>
        <v>499.98</v>
      </c>
    </row>
    <row r="3" spans="1:12" x14ac:dyDescent="0.3">
      <c r="A3" t="s">
        <v>14</v>
      </c>
      <c r="B3" s="2">
        <v>46028</v>
      </c>
      <c r="C3" s="2" t="s">
        <v>21</v>
      </c>
      <c r="D3" s="1">
        <v>0.35416666666666669</v>
      </c>
      <c r="E3" s="1">
        <v>0.91666666666666663</v>
      </c>
      <c r="F3">
        <v>38.46</v>
      </c>
      <c r="G3">
        <f t="shared" si="0"/>
        <v>13.5</v>
      </c>
      <c r="H3">
        <f t="shared" ref="H3:H8" si="4">MIN(G3,10)</f>
        <v>10</v>
      </c>
      <c r="I3">
        <f t="shared" ref="I3:I8" si="5">MAX(G3-10,0) - 1</f>
        <v>2.5</v>
      </c>
      <c r="J3">
        <f t="shared" si="1"/>
        <v>384.6</v>
      </c>
      <c r="K3">
        <f t="shared" si="2"/>
        <v>115.38</v>
      </c>
      <c r="L3">
        <f t="shared" si="3"/>
        <v>499.98</v>
      </c>
    </row>
    <row r="4" spans="1:12" x14ac:dyDescent="0.3">
      <c r="A4" t="s">
        <v>14</v>
      </c>
      <c r="B4" s="2">
        <v>46029</v>
      </c>
      <c r="C4" s="2" t="s">
        <v>21</v>
      </c>
      <c r="D4" s="1">
        <v>0.35416666666666669</v>
      </c>
      <c r="E4" s="1">
        <v>0.91666666666666663</v>
      </c>
      <c r="F4">
        <v>38.46</v>
      </c>
      <c r="G4">
        <f t="shared" si="0"/>
        <v>13.5</v>
      </c>
      <c r="H4">
        <f t="shared" si="4"/>
        <v>10</v>
      </c>
      <c r="I4">
        <f t="shared" si="5"/>
        <v>2.5</v>
      </c>
      <c r="J4">
        <f t="shared" si="1"/>
        <v>384.6</v>
      </c>
      <c r="K4">
        <f t="shared" si="2"/>
        <v>115.38</v>
      </c>
      <c r="L4">
        <f t="shared" si="3"/>
        <v>499.98</v>
      </c>
    </row>
    <row r="5" spans="1:12" x14ac:dyDescent="0.3">
      <c r="A5" t="s">
        <v>14</v>
      </c>
      <c r="B5" s="2">
        <v>46030</v>
      </c>
      <c r="C5" s="2" t="s">
        <v>21</v>
      </c>
      <c r="D5" s="1">
        <v>0.35416666666666669</v>
      </c>
      <c r="E5" s="1">
        <v>0.91666666666666663</v>
      </c>
      <c r="F5">
        <v>38.46</v>
      </c>
      <c r="G5">
        <f t="shared" si="0"/>
        <v>13.5</v>
      </c>
      <c r="H5">
        <f t="shared" si="4"/>
        <v>10</v>
      </c>
      <c r="I5">
        <f t="shared" si="5"/>
        <v>2.5</v>
      </c>
      <c r="J5">
        <f t="shared" si="1"/>
        <v>384.6</v>
      </c>
      <c r="K5">
        <f t="shared" si="2"/>
        <v>115.38</v>
      </c>
      <c r="L5">
        <f t="shared" si="3"/>
        <v>499.98</v>
      </c>
    </row>
    <row r="6" spans="1:12" x14ac:dyDescent="0.3">
      <c r="A6" t="s">
        <v>14</v>
      </c>
      <c r="B6" s="2">
        <v>46031</v>
      </c>
      <c r="C6" s="2" t="s">
        <v>21</v>
      </c>
      <c r="D6" s="1"/>
      <c r="E6" s="1"/>
    </row>
    <row r="7" spans="1:12" x14ac:dyDescent="0.3">
      <c r="A7" t="s">
        <v>14</v>
      </c>
      <c r="B7" s="2">
        <v>46032</v>
      </c>
      <c r="C7" s="2" t="s">
        <v>21</v>
      </c>
      <c r="D7" s="1">
        <v>0.35416666666666669</v>
      </c>
      <c r="E7" s="1">
        <v>0.89583333333333337</v>
      </c>
      <c r="F7">
        <v>38.46</v>
      </c>
      <c r="G7">
        <f t="shared" si="0"/>
        <v>13.000000000000002</v>
      </c>
      <c r="H7">
        <f t="shared" si="4"/>
        <v>10</v>
      </c>
      <c r="I7">
        <f t="shared" si="5"/>
        <v>2.0000000000000018</v>
      </c>
      <c r="J7">
        <f t="shared" si="1"/>
        <v>384.6</v>
      </c>
      <c r="K7">
        <f t="shared" si="2"/>
        <v>92.304000000000087</v>
      </c>
      <c r="L7">
        <f t="shared" si="3"/>
        <v>476.90400000000011</v>
      </c>
    </row>
    <row r="8" spans="1:12" x14ac:dyDescent="0.3">
      <c r="A8" t="s">
        <v>14</v>
      </c>
      <c r="B8" s="2">
        <v>46033</v>
      </c>
      <c r="C8" s="2" t="s">
        <v>21</v>
      </c>
      <c r="D8" s="1">
        <v>0.35416666666666669</v>
      </c>
      <c r="E8" s="1">
        <v>0.91666666666666663</v>
      </c>
      <c r="F8">
        <v>38.46</v>
      </c>
      <c r="G8">
        <f t="shared" si="0"/>
        <v>13.5</v>
      </c>
      <c r="H8">
        <f t="shared" si="4"/>
        <v>10</v>
      </c>
      <c r="I8">
        <f t="shared" si="5"/>
        <v>2.5</v>
      </c>
      <c r="J8">
        <f t="shared" si="1"/>
        <v>384.6</v>
      </c>
      <c r="K8">
        <f t="shared" si="2"/>
        <v>115.38</v>
      </c>
      <c r="L8">
        <f t="shared" si="3"/>
        <v>499.98</v>
      </c>
    </row>
    <row r="9" spans="1:12" x14ac:dyDescent="0.3">
      <c r="J9">
        <f>SUM(J2:J8)</f>
        <v>2307.6</v>
      </c>
      <c r="K9">
        <f>SUM(K2:K8)</f>
        <v>669.20400000000006</v>
      </c>
      <c r="L9">
        <f>SUM(L2:L8)</f>
        <v>2976.8040000000001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9"/>
  <sheetViews>
    <sheetView workbookViewId="0">
      <selection activeCell="L9" sqref="J9:L9"/>
    </sheetView>
  </sheetViews>
  <sheetFormatPr defaultColWidth="15.44140625" defaultRowHeight="14.4" x14ac:dyDescent="0.3"/>
  <cols>
    <col min="3" max="3" width="20.77734375" bestFit="1" customWidth="1"/>
  </cols>
  <sheetData>
    <row r="1" spans="1:12" x14ac:dyDescent="0.3">
      <c r="A1" t="s">
        <v>9</v>
      </c>
      <c r="B1" t="s">
        <v>11</v>
      </c>
      <c r="C1" t="s">
        <v>20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18</v>
      </c>
      <c r="B2" s="2">
        <v>46027</v>
      </c>
      <c r="C2" s="2" t="s">
        <v>23</v>
      </c>
      <c r="D2" s="1"/>
      <c r="E2" s="1"/>
    </row>
    <row r="3" spans="1:12" x14ac:dyDescent="0.3">
      <c r="A3" t="s">
        <v>18</v>
      </c>
      <c r="B3" s="2">
        <v>46028</v>
      </c>
      <c r="C3" s="2" t="s">
        <v>23</v>
      </c>
      <c r="D3" s="1">
        <v>0.35416666666666669</v>
      </c>
      <c r="E3" s="1">
        <v>0.91666666666666663</v>
      </c>
      <c r="F3">
        <v>22.22</v>
      </c>
      <c r="G3">
        <f t="shared" ref="G3:G8" si="0">(E3-D3)*24</f>
        <v>13.5</v>
      </c>
      <c r="H3">
        <f t="shared" ref="H3:H8" si="1">MIN(G3,9)</f>
        <v>9</v>
      </c>
      <c r="I3">
        <f t="shared" ref="I3:I8" si="2">MAX(G3-9,0) - 1</f>
        <v>3.5</v>
      </c>
      <c r="J3">
        <f t="shared" ref="J3:J8" si="3">H3*F3</f>
        <v>199.98</v>
      </c>
      <c r="K3">
        <f t="shared" ref="K3:K8" si="4">I3*F3*1.2</f>
        <v>93.323999999999998</v>
      </c>
      <c r="L3">
        <f t="shared" ref="L3:L8" si="5">J3+K3</f>
        <v>293.30399999999997</v>
      </c>
    </row>
    <row r="4" spans="1:12" x14ac:dyDescent="0.3">
      <c r="A4" t="s">
        <v>18</v>
      </c>
      <c r="B4" s="2">
        <v>46029</v>
      </c>
      <c r="C4" s="2" t="s">
        <v>23</v>
      </c>
      <c r="D4" s="1">
        <v>0.35416666666666669</v>
      </c>
      <c r="E4" s="1">
        <v>0.91666666666666663</v>
      </c>
      <c r="F4">
        <v>22.22</v>
      </c>
      <c r="G4">
        <f t="shared" si="0"/>
        <v>13.5</v>
      </c>
      <c r="H4">
        <f t="shared" si="1"/>
        <v>9</v>
      </c>
      <c r="I4">
        <f t="shared" si="2"/>
        <v>3.5</v>
      </c>
      <c r="J4">
        <f t="shared" si="3"/>
        <v>199.98</v>
      </c>
      <c r="K4">
        <f t="shared" si="4"/>
        <v>93.323999999999998</v>
      </c>
      <c r="L4">
        <f t="shared" si="5"/>
        <v>293.30399999999997</v>
      </c>
    </row>
    <row r="5" spans="1:12" x14ac:dyDescent="0.3">
      <c r="A5" t="s">
        <v>18</v>
      </c>
      <c r="B5" s="2">
        <v>46030</v>
      </c>
      <c r="C5" s="2" t="s">
        <v>23</v>
      </c>
      <c r="D5" s="1">
        <v>0.42291666666666666</v>
      </c>
      <c r="E5" s="1">
        <v>0.91666666666666663</v>
      </c>
      <c r="F5">
        <v>22.22</v>
      </c>
      <c r="G5">
        <f t="shared" si="0"/>
        <v>11.85</v>
      </c>
      <c r="H5">
        <f t="shared" si="1"/>
        <v>9</v>
      </c>
      <c r="I5">
        <f t="shared" si="2"/>
        <v>1.8499999999999996</v>
      </c>
      <c r="J5">
        <f t="shared" si="3"/>
        <v>199.98</v>
      </c>
      <c r="K5">
        <f t="shared" si="4"/>
        <v>49.328399999999988</v>
      </c>
      <c r="L5">
        <f t="shared" si="5"/>
        <v>249.30839999999998</v>
      </c>
    </row>
    <row r="6" spans="1:12" x14ac:dyDescent="0.3">
      <c r="A6" t="s">
        <v>18</v>
      </c>
      <c r="B6" s="2">
        <v>46031</v>
      </c>
      <c r="C6" s="2" t="s">
        <v>23</v>
      </c>
      <c r="D6" s="1">
        <v>0.49305555555555558</v>
      </c>
      <c r="E6" s="1">
        <v>0.89583333333333337</v>
      </c>
      <c r="F6">
        <v>22.22</v>
      </c>
      <c r="G6">
        <f t="shared" si="0"/>
        <v>9.6666666666666679</v>
      </c>
      <c r="H6">
        <f t="shared" si="1"/>
        <v>9</v>
      </c>
      <c r="I6">
        <f t="shared" si="2"/>
        <v>-0.33333333333333215</v>
      </c>
      <c r="J6">
        <f t="shared" si="3"/>
        <v>199.98</v>
      </c>
      <c r="L6">
        <f t="shared" si="5"/>
        <v>199.98</v>
      </c>
    </row>
    <row r="7" spans="1:12" x14ac:dyDescent="0.3">
      <c r="A7" t="s">
        <v>18</v>
      </c>
      <c r="B7" s="2">
        <v>46032</v>
      </c>
      <c r="C7" s="2" t="s">
        <v>23</v>
      </c>
      <c r="D7" s="1">
        <v>0.4375</v>
      </c>
      <c r="E7" s="1">
        <v>0.91874999999999996</v>
      </c>
      <c r="F7">
        <v>22.22</v>
      </c>
      <c r="G7">
        <f t="shared" si="0"/>
        <v>11.549999999999999</v>
      </c>
      <c r="H7">
        <f t="shared" si="1"/>
        <v>9</v>
      </c>
      <c r="I7">
        <f t="shared" si="2"/>
        <v>1.5499999999999989</v>
      </c>
      <c r="J7">
        <f t="shared" si="3"/>
        <v>199.98</v>
      </c>
      <c r="K7">
        <f t="shared" si="4"/>
        <v>41.329199999999965</v>
      </c>
      <c r="L7">
        <f t="shared" si="5"/>
        <v>241.30919999999995</v>
      </c>
    </row>
    <row r="8" spans="1:12" x14ac:dyDescent="0.3">
      <c r="A8" t="s">
        <v>18</v>
      </c>
      <c r="B8" s="2">
        <v>46033</v>
      </c>
      <c r="C8" s="2" t="s">
        <v>23</v>
      </c>
      <c r="D8" s="1">
        <v>0.39583333333333331</v>
      </c>
      <c r="E8" s="1">
        <v>0.875</v>
      </c>
      <c r="F8">
        <v>22.22</v>
      </c>
      <c r="G8">
        <f t="shared" si="0"/>
        <v>11.5</v>
      </c>
      <c r="H8">
        <f t="shared" si="1"/>
        <v>9</v>
      </c>
      <c r="I8">
        <f t="shared" si="2"/>
        <v>1.5</v>
      </c>
      <c r="J8">
        <f t="shared" si="3"/>
        <v>199.98</v>
      </c>
      <c r="K8">
        <f t="shared" si="4"/>
        <v>39.995999999999995</v>
      </c>
      <c r="L8">
        <f t="shared" si="5"/>
        <v>239.976</v>
      </c>
    </row>
    <row r="9" spans="1:12" x14ac:dyDescent="0.3">
      <c r="J9">
        <f>SUM(J3:J8)</f>
        <v>1199.8799999999999</v>
      </c>
      <c r="K9">
        <f>SUM(K3:K8)</f>
        <v>317.30159999999995</v>
      </c>
      <c r="L9">
        <f>SUM(L3:L8)</f>
        <v>1517.1815999999999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tabSelected="1" workbookViewId="0">
      <selection activeCell="L10" sqref="L10"/>
    </sheetView>
  </sheetViews>
  <sheetFormatPr defaultColWidth="13.33203125" defaultRowHeight="14.4" x14ac:dyDescent="0.3"/>
  <cols>
    <col min="3" max="3" width="15.5546875" customWidth="1"/>
  </cols>
  <sheetData>
    <row r="1" spans="1:13" x14ac:dyDescent="0.3">
      <c r="A1" t="s">
        <v>9</v>
      </c>
      <c r="B1" t="s">
        <v>11</v>
      </c>
      <c r="C1" t="s">
        <v>20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 x14ac:dyDescent="0.3">
      <c r="A2" t="s">
        <v>13</v>
      </c>
      <c r="B2" s="2">
        <v>46021</v>
      </c>
      <c r="C2" s="2" t="s">
        <v>24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 x14ac:dyDescent="0.3">
      <c r="A3" t="s">
        <v>13</v>
      </c>
      <c r="B3" s="2">
        <v>46022</v>
      </c>
      <c r="C3" s="2" t="s">
        <v>24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32</v>
      </c>
    </row>
    <row r="4" spans="1:13" x14ac:dyDescent="0.3">
      <c r="A4" t="s">
        <v>13</v>
      </c>
      <c r="B4" s="2">
        <v>46027</v>
      </c>
      <c r="C4" s="2" t="s">
        <v>24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 x14ac:dyDescent="0.3">
      <c r="A5" t="s">
        <v>13</v>
      </c>
      <c r="B5" s="2">
        <v>46028</v>
      </c>
      <c r="C5" s="2" t="s">
        <v>24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 x14ac:dyDescent="0.3">
      <c r="A6" t="s">
        <v>13</v>
      </c>
      <c r="B6" s="2">
        <v>46029</v>
      </c>
      <c r="C6" s="2" t="s">
        <v>24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 x14ac:dyDescent="0.3">
      <c r="A7" t="s">
        <v>13</v>
      </c>
      <c r="B7" s="2">
        <v>46030</v>
      </c>
      <c r="C7" s="2" t="s">
        <v>24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 x14ac:dyDescent="0.3">
      <c r="A8" t="s">
        <v>13</v>
      </c>
      <c r="B8" s="2">
        <v>46031</v>
      </c>
      <c r="C8" s="2" t="s">
        <v>24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 x14ac:dyDescent="0.3">
      <c r="A9" t="s">
        <v>13</v>
      </c>
      <c r="B9" s="2">
        <v>46032</v>
      </c>
      <c r="C9" s="2" t="s">
        <v>24</v>
      </c>
      <c r="D9" s="1">
        <v>0.43402777777777779</v>
      </c>
      <c r="E9" s="1">
        <v>0.90625</v>
      </c>
      <c r="F9">
        <v>29.91</v>
      </c>
      <c r="G9">
        <f t="shared" ref="G9" si="6">(E9-D9)*24</f>
        <v>11.333333333333332</v>
      </c>
      <c r="H9">
        <f t="shared" ref="H9" si="7">MIN(G9,9)</f>
        <v>9</v>
      </c>
      <c r="I9">
        <f t="shared" ref="I9" si="8">MAX(G9-9,0) - 1</f>
        <v>1.3333333333333321</v>
      </c>
      <c r="J9">
        <f t="shared" ref="J9" si="9">H9*F9</f>
        <v>269.19</v>
      </c>
      <c r="K9">
        <f t="shared" ref="K9" si="10">I9*F9*1.2</f>
        <v>47.855999999999959</v>
      </c>
      <c r="L9">
        <f t="shared" ref="L9" si="11">J9+K9</f>
        <v>317.04599999999994</v>
      </c>
    </row>
    <row r="10" spans="1:13" x14ac:dyDescent="0.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8"/>
  <sheetViews>
    <sheetView workbookViewId="0">
      <pane ySplit="1" topLeftCell="A2" activePane="bottomLeft" state="frozen"/>
      <selection pane="bottomLeft" activeCell="J8" sqref="J8:L8"/>
    </sheetView>
  </sheetViews>
  <sheetFormatPr defaultColWidth="12.88671875" defaultRowHeight="14.4" x14ac:dyDescent="0.3"/>
  <cols>
    <col min="3" max="3" width="15.109375" customWidth="1"/>
  </cols>
  <sheetData>
    <row r="1" spans="1:12" x14ac:dyDescent="0.3">
      <c r="A1" t="s">
        <v>9</v>
      </c>
      <c r="B1" t="s">
        <v>11</v>
      </c>
      <c r="C1" t="s">
        <v>20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10</v>
      </c>
      <c r="B2" s="2">
        <v>46027</v>
      </c>
      <c r="C2" s="2" t="s">
        <v>25</v>
      </c>
      <c r="D2" s="1">
        <v>0.35416666666666669</v>
      </c>
      <c r="E2" s="1">
        <v>0.85416666666666663</v>
      </c>
      <c r="F2">
        <v>34.18</v>
      </c>
      <c r="G2">
        <f t="shared" ref="G2:G7" si="0">(E2-D2)*24</f>
        <v>11.999999999999998</v>
      </c>
      <c r="H2">
        <f t="shared" ref="H2:H7" si="1">MIN(G2,9)</f>
        <v>9</v>
      </c>
      <c r="I2">
        <f t="shared" ref="I2:I7" si="2">MAX(G2-9,0) - 1</f>
        <v>1.9999999999999982</v>
      </c>
      <c r="J2">
        <f t="shared" ref="J2:J7" si="3">H2*F2</f>
        <v>307.62</v>
      </c>
      <c r="K2">
        <f t="shared" ref="K2:K7" si="4">I2*F2*1.2</f>
        <v>82.031999999999925</v>
      </c>
      <c r="L2">
        <f t="shared" ref="L2:L7" si="5">J2+K2</f>
        <v>389.65199999999993</v>
      </c>
    </row>
    <row r="3" spans="1:12" x14ac:dyDescent="0.3">
      <c r="A3" t="s">
        <v>10</v>
      </c>
      <c r="B3" s="2">
        <v>46028</v>
      </c>
      <c r="C3" s="2" t="s">
        <v>25</v>
      </c>
      <c r="D3" s="1">
        <v>0.33333333333333331</v>
      </c>
      <c r="E3" s="1">
        <v>0.8125</v>
      </c>
      <c r="F3">
        <v>34.18</v>
      </c>
      <c r="G3">
        <f t="shared" si="0"/>
        <v>11.5</v>
      </c>
      <c r="H3">
        <f t="shared" si="1"/>
        <v>9</v>
      </c>
      <c r="I3">
        <f t="shared" si="2"/>
        <v>1.5</v>
      </c>
      <c r="J3">
        <f t="shared" si="3"/>
        <v>307.62</v>
      </c>
      <c r="K3">
        <f t="shared" si="4"/>
        <v>61.523999999999994</v>
      </c>
      <c r="L3">
        <f t="shared" si="5"/>
        <v>369.14400000000001</v>
      </c>
    </row>
    <row r="4" spans="1:12" x14ac:dyDescent="0.3">
      <c r="A4" t="s">
        <v>10</v>
      </c>
      <c r="B4" s="2">
        <v>46029</v>
      </c>
      <c r="C4" s="2" t="s">
        <v>25</v>
      </c>
      <c r="D4" s="1">
        <v>0.33333333333333331</v>
      </c>
      <c r="E4" s="1">
        <v>0.9375</v>
      </c>
      <c r="F4">
        <v>34.18</v>
      </c>
      <c r="G4">
        <f t="shared" si="0"/>
        <v>14.500000000000002</v>
      </c>
      <c r="H4">
        <f t="shared" si="1"/>
        <v>9</v>
      </c>
      <c r="I4">
        <f t="shared" si="2"/>
        <v>4.5000000000000018</v>
      </c>
      <c r="J4">
        <f t="shared" si="3"/>
        <v>307.62</v>
      </c>
      <c r="K4">
        <f t="shared" si="4"/>
        <v>184.57200000000006</v>
      </c>
      <c r="L4">
        <f t="shared" si="5"/>
        <v>492.19200000000006</v>
      </c>
    </row>
    <row r="5" spans="1:12" x14ac:dyDescent="0.3">
      <c r="A5" t="s">
        <v>10</v>
      </c>
      <c r="B5" s="2">
        <v>46030</v>
      </c>
      <c r="C5" s="2" t="s">
        <v>25</v>
      </c>
      <c r="D5" s="1">
        <v>0.33333333333333331</v>
      </c>
      <c r="E5" s="1">
        <v>0.95833333333333337</v>
      </c>
      <c r="F5">
        <v>34.18</v>
      </c>
      <c r="G5">
        <f t="shared" si="0"/>
        <v>15</v>
      </c>
      <c r="H5">
        <f t="shared" si="1"/>
        <v>9</v>
      </c>
      <c r="I5">
        <f t="shared" si="2"/>
        <v>5</v>
      </c>
      <c r="J5">
        <f t="shared" si="3"/>
        <v>307.62</v>
      </c>
      <c r="K5">
        <f t="shared" si="4"/>
        <v>205.08</v>
      </c>
      <c r="L5">
        <f t="shared" si="5"/>
        <v>512.70000000000005</v>
      </c>
    </row>
    <row r="6" spans="1:12" x14ac:dyDescent="0.3">
      <c r="A6" t="s">
        <v>10</v>
      </c>
      <c r="B6" s="2">
        <v>46031</v>
      </c>
      <c r="C6" s="2" t="s">
        <v>25</v>
      </c>
      <c r="D6" s="1">
        <v>0.56180555555555556</v>
      </c>
      <c r="E6" s="1">
        <v>0.85416666666666663</v>
      </c>
      <c r="F6">
        <v>34.18</v>
      </c>
      <c r="G6">
        <f t="shared" si="0"/>
        <v>7.0166666666666657</v>
      </c>
      <c r="H6">
        <f t="shared" si="1"/>
        <v>7.0166666666666657</v>
      </c>
      <c r="I6">
        <f t="shared" si="2"/>
        <v>-1</v>
      </c>
      <c r="J6">
        <f t="shared" si="3"/>
        <v>239.82966666666664</v>
      </c>
      <c r="L6">
        <f t="shared" si="5"/>
        <v>239.82966666666664</v>
      </c>
    </row>
    <row r="7" spans="1:12" x14ac:dyDescent="0.3">
      <c r="A7" t="s">
        <v>10</v>
      </c>
      <c r="B7" s="2">
        <v>46032</v>
      </c>
      <c r="C7" s="2" t="s">
        <v>25</v>
      </c>
      <c r="D7" s="1">
        <v>0.36458333333333331</v>
      </c>
      <c r="E7" s="1">
        <v>0.8125</v>
      </c>
      <c r="F7">
        <v>34.18</v>
      </c>
      <c r="G7">
        <f t="shared" si="0"/>
        <v>10.75</v>
      </c>
      <c r="H7">
        <f t="shared" si="1"/>
        <v>9</v>
      </c>
      <c r="I7">
        <f t="shared" si="2"/>
        <v>0.75</v>
      </c>
      <c r="J7">
        <f t="shared" si="3"/>
        <v>307.62</v>
      </c>
      <c r="K7">
        <f t="shared" si="4"/>
        <v>30.761999999999997</v>
      </c>
      <c r="L7">
        <f t="shared" si="5"/>
        <v>338.38200000000001</v>
      </c>
    </row>
    <row r="8" spans="1:12" x14ac:dyDescent="0.3">
      <c r="B8" s="2"/>
      <c r="C8" s="2"/>
      <c r="D8" s="1"/>
      <c r="E8" s="1"/>
      <c r="J8">
        <f>SUM(J2:J7)</f>
        <v>1777.9296666666664</v>
      </c>
      <c r="K8">
        <f>SUM(K2:K7)</f>
        <v>563.96999999999991</v>
      </c>
      <c r="L8">
        <f>SUM(L2:L7)</f>
        <v>2341.8996666666667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21875" defaultRowHeight="14.4" x14ac:dyDescent="0.3"/>
  <sheetData>
    <row r="1" spans="1:12" x14ac:dyDescent="0.3">
      <c r="A1" t="s">
        <v>9</v>
      </c>
      <c r="B1" t="s">
        <v>11</v>
      </c>
      <c r="C1" t="s">
        <v>20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19</v>
      </c>
      <c r="B2" s="2">
        <v>46027</v>
      </c>
      <c r="C2" s="2"/>
      <c r="D2" s="1"/>
      <c r="E2" s="1"/>
    </row>
    <row r="3" spans="1:12" x14ac:dyDescent="0.3">
      <c r="A3" t="s">
        <v>19</v>
      </c>
      <c r="B3" s="2">
        <v>46028</v>
      </c>
      <c r="C3" s="2"/>
      <c r="D3" s="1"/>
      <c r="E3" s="1"/>
    </row>
    <row r="4" spans="1:12" x14ac:dyDescent="0.3">
      <c r="A4" t="s">
        <v>19</v>
      </c>
      <c r="B4" s="2">
        <v>46029</v>
      </c>
      <c r="C4" s="2"/>
      <c r="D4" s="1"/>
      <c r="E4" s="1"/>
    </row>
    <row r="5" spans="1:12" x14ac:dyDescent="0.3">
      <c r="A5" t="s">
        <v>19</v>
      </c>
      <c r="B5" s="2">
        <v>46030</v>
      </c>
      <c r="C5" s="2"/>
      <c r="D5" s="1"/>
      <c r="E5" s="1"/>
    </row>
    <row r="6" spans="1:12" x14ac:dyDescent="0.3">
      <c r="A6" t="s">
        <v>19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 t="shared" ref="G6:G8" si="0">(E6-D6)*24</f>
        <v>5.4999999999999991</v>
      </c>
      <c r="H6">
        <f t="shared" ref="H6:H8" si="1">MIN(G6,9)</f>
        <v>5.4999999999999991</v>
      </c>
      <c r="I6">
        <f t="shared" ref="I6:I8" si="2">MAX(G6-9,0) - 1</f>
        <v>-1</v>
      </c>
      <c r="J6">
        <f t="shared" ref="J6:J8" si="3">H6*F6</f>
        <v>122.20999999999998</v>
      </c>
      <c r="L6">
        <f t="shared" ref="L6:L8" si="4">J6+K6</f>
        <v>122.20999999999998</v>
      </c>
    </row>
    <row r="7" spans="1:12" x14ac:dyDescent="0.3">
      <c r="A7" t="s">
        <v>19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 t="shared" si="0"/>
        <v>4.9999999999999982</v>
      </c>
      <c r="H7">
        <f t="shared" si="1"/>
        <v>4.9999999999999982</v>
      </c>
      <c r="I7">
        <f t="shared" si="2"/>
        <v>-1</v>
      </c>
      <c r="J7">
        <f t="shared" si="3"/>
        <v>111.09999999999995</v>
      </c>
      <c r="L7">
        <f t="shared" si="4"/>
        <v>111.09999999999995</v>
      </c>
    </row>
    <row r="8" spans="1:12" x14ac:dyDescent="0.3">
      <c r="A8" t="s">
        <v>19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 t="shared" si="0"/>
        <v>4.4833333333333334</v>
      </c>
      <c r="H8">
        <f t="shared" si="1"/>
        <v>4.4833333333333334</v>
      </c>
      <c r="I8">
        <f t="shared" si="2"/>
        <v>-1</v>
      </c>
      <c r="J8">
        <f t="shared" si="3"/>
        <v>99.61966666666666</v>
      </c>
      <c r="L8">
        <f t="shared" si="4"/>
        <v>99.61966666666666</v>
      </c>
    </row>
    <row r="9" spans="1:12" x14ac:dyDescent="0.3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Kris</vt:lpstr>
      <vt:lpstr>Jay Anne</vt:lpstr>
      <vt:lpstr>Cherry</vt:lpstr>
      <vt:lpstr>Christian</vt:lpstr>
      <vt:lpstr>Rhea Mae</vt:lpstr>
      <vt:lpstr>Aldrin</vt:lpstr>
      <vt:lpstr>Rhoda</vt:lpstr>
      <vt:lpstr>Chadiyah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dcterms:created xsi:type="dcterms:W3CDTF">2025-12-15T10:27:30Z</dcterms:created>
  <dcterms:modified xsi:type="dcterms:W3CDTF">2026-01-13T06:56:51Z</dcterms:modified>
</cp:coreProperties>
</file>