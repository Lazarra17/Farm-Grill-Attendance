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FAC5C8C5-7FF4-45FB-B8C2-225608ED513E}" xr6:coauthVersionLast="47" xr6:coauthVersionMax="47" xr10:uidLastSave="{00000000-0000-0000-0000-000000000000}"/>
  <bookViews>
    <workbookView xWindow="-108" yWindow="-108" windowWidth="23256" windowHeight="13896" activeTab="6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Sheen" sheetId="20" r:id="rId5"/>
    <sheet name="Cherry" sheetId="5" r:id="rId6"/>
    <sheet name="Pepito" sheetId="6" r:id="rId7"/>
    <sheet name="Mark" sheetId="11" r:id="rId8"/>
    <sheet name="Kim" sheetId="7" r:id="rId9"/>
    <sheet name="David" sheetId="18" r:id="rId10"/>
    <sheet name="Kris" sheetId="2" r:id="rId11"/>
    <sheet name="Jay Anne" sheetId="3" r:id="rId12"/>
    <sheet name="Chardiya" sheetId="1" r:id="rId13"/>
    <sheet name="Lenard" sheetId="16" r:id="rId14"/>
    <sheet name="Template" sheetId="13" r:id="rId15"/>
    <sheet name="Rhoda" sheetId="9" state="hidden" r:id="rId16"/>
    <sheet name="Kenneth" sheetId="8" state="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5" l="1"/>
  <c r="H17" i="5"/>
  <c r="I1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2" i="5"/>
  <c r="B38" i="15"/>
  <c r="B23" i="15"/>
  <c r="B24" i="15"/>
  <c r="B25" i="15"/>
  <c r="B26" i="15"/>
  <c r="B28" i="15"/>
  <c r="B29" i="15"/>
  <c r="B30" i="15"/>
  <c r="B31" i="15"/>
  <c r="B34" i="15"/>
  <c r="B35" i="15"/>
  <c r="B36" i="15"/>
  <c r="B22" i="15"/>
  <c r="B35" i="6" l="1"/>
  <c r="E3" i="15"/>
  <c r="E4" i="15"/>
  <c r="E6" i="15"/>
  <c r="E8" i="15"/>
  <c r="E9" i="15"/>
  <c r="E10" i="15"/>
  <c r="E11" i="15"/>
  <c r="E14" i="15"/>
  <c r="E15" i="15"/>
  <c r="E16" i="15"/>
  <c r="E18" i="15"/>
  <c r="E2" i="15"/>
  <c r="B36" i="4"/>
  <c r="B36" i="20"/>
  <c r="B36" i="6"/>
  <c r="B36" i="11"/>
  <c r="B32" i="7"/>
  <c r="B35" i="5"/>
  <c r="B35" i="19"/>
  <c r="G16" i="7"/>
  <c r="I16" i="7" s="1"/>
  <c r="K16" i="7" s="1"/>
  <c r="G15" i="7"/>
  <c r="H15" i="7" s="1"/>
  <c r="J15" i="7" s="1"/>
  <c r="G14" i="7"/>
  <c r="H14" i="7" s="1"/>
  <c r="J14" i="7" s="1"/>
  <c r="G13" i="7"/>
  <c r="I13" i="7" s="1"/>
  <c r="K13" i="7" s="1"/>
  <c r="G12" i="7"/>
  <c r="H12" i="7" s="1"/>
  <c r="J12" i="7" s="1"/>
  <c r="G11" i="7"/>
  <c r="H11" i="7" s="1"/>
  <c r="J11" i="7" s="1"/>
  <c r="G10" i="7"/>
  <c r="I10" i="7" s="1"/>
  <c r="K10" i="7" s="1"/>
  <c r="G9" i="7"/>
  <c r="I9" i="7" s="1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K16" i="5" s="1"/>
  <c r="G15" i="5"/>
  <c r="K15" i="5" s="1"/>
  <c r="G14" i="5"/>
  <c r="J14" i="5" s="1"/>
  <c r="G13" i="5"/>
  <c r="K13" i="5" s="1"/>
  <c r="G12" i="5"/>
  <c r="K12" i="5" s="1"/>
  <c r="G11" i="5"/>
  <c r="J11" i="5" s="1"/>
  <c r="G10" i="5"/>
  <c r="J10" i="5" s="1"/>
  <c r="G9" i="5"/>
  <c r="K9" i="5" s="1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6" i="4"/>
  <c r="H16" i="4" s="1"/>
  <c r="J16" i="4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4" i="19"/>
  <c r="I14" i="19" s="1"/>
  <c r="K14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K11" i="5" l="1"/>
  <c r="L11" i="5" s="1"/>
  <c r="I11" i="7"/>
  <c r="K11" i="7" s="1"/>
  <c r="L11" i="7" s="1"/>
  <c r="H16" i="7"/>
  <c r="J16" i="7" s="1"/>
  <c r="L16" i="7" s="1"/>
  <c r="I14" i="7"/>
  <c r="K14" i="7" s="1"/>
  <c r="L14" i="7" s="1"/>
  <c r="H9" i="7"/>
  <c r="J9" i="7" s="1"/>
  <c r="L9" i="7" s="1"/>
  <c r="I12" i="7"/>
  <c r="K12" i="7" s="1"/>
  <c r="L12" i="7" s="1"/>
  <c r="I15" i="7"/>
  <c r="K15" i="7" s="1"/>
  <c r="L15" i="7" s="1"/>
  <c r="H13" i="7"/>
  <c r="J13" i="7" s="1"/>
  <c r="L13" i="7" s="1"/>
  <c r="H10" i="7"/>
  <c r="J10" i="7" s="1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J16" i="5"/>
  <c r="L16" i="5" s="1"/>
  <c r="K14" i="5"/>
  <c r="L14" i="5" s="1"/>
  <c r="J15" i="5"/>
  <c r="L15" i="5" s="1"/>
  <c r="J12" i="5"/>
  <c r="L12" i="5" s="1"/>
  <c r="K10" i="5"/>
  <c r="L10" i="5" s="1"/>
  <c r="J9" i="5"/>
  <c r="L9" i="5" s="1"/>
  <c r="J13" i="5"/>
  <c r="L13" i="5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I16" i="4"/>
  <c r="K16" i="4" s="1"/>
  <c r="L16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H16" i="19"/>
  <c r="J16" i="19" s="1"/>
  <c r="L16" i="19" s="1"/>
  <c r="I9" i="19"/>
  <c r="K9" i="19" s="1"/>
  <c r="L9" i="19" s="1"/>
  <c r="I10" i="19"/>
  <c r="K10" i="19" s="1"/>
  <c r="L10" i="19" s="1"/>
  <c r="H14" i="19"/>
  <c r="J14" i="19" s="1"/>
  <c r="L14" i="19" s="1"/>
  <c r="H12" i="19"/>
  <c r="J12" i="19" s="1"/>
  <c r="L12" i="19" s="1"/>
  <c r="H15" i="19"/>
  <c r="J15" i="19" s="1"/>
  <c r="L15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4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E64" i="15"/>
  <c r="E70" i="15"/>
  <c r="E72" i="15"/>
  <c r="E76" i="15"/>
  <c r="E77" i="15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E67" i="15"/>
  <c r="B34" i="19"/>
  <c r="B33" i="19"/>
  <c r="E65" i="15" s="1"/>
  <c r="B31" i="19"/>
  <c r="E63" i="15" s="1"/>
  <c r="G2" i="19"/>
  <c r="H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B35" i="11"/>
  <c r="B66" i="15" s="1"/>
  <c r="B31" i="7"/>
  <c r="E46" i="15" s="1"/>
  <c r="B34" i="5"/>
  <c r="B46" i="15" s="1"/>
  <c r="E25" i="15"/>
  <c r="B34" i="2"/>
  <c r="B27" i="3"/>
  <c r="A87" i="15"/>
  <c r="D67" i="15"/>
  <c r="A67" i="15"/>
  <c r="D47" i="15"/>
  <c r="A47" i="15"/>
  <c r="D26" i="15"/>
  <c r="A26" i="15"/>
  <c r="D6" i="15"/>
  <c r="A6" i="15"/>
  <c r="B28" i="1"/>
  <c r="B28" i="16"/>
  <c r="B87" i="15" s="1"/>
  <c r="B67" i="15"/>
  <c r="E47" i="15"/>
  <c r="B47" i="15"/>
  <c r="E26" i="15"/>
  <c r="B35" i="2"/>
  <c r="B28" i="3"/>
  <c r="B6" i="15"/>
  <c r="B34" i="4"/>
  <c r="B4" i="15" s="1"/>
  <c r="B34" i="11"/>
  <c r="B65" i="15" s="1"/>
  <c r="B26" i="1"/>
  <c r="B26" i="16"/>
  <c r="B85" i="15" s="1"/>
  <c r="B30" i="7"/>
  <c r="E45" i="15" s="1"/>
  <c r="B33" i="5"/>
  <c r="B45" i="15" s="1"/>
  <c r="B34" i="6"/>
  <c r="E24" i="15" s="1"/>
  <c r="B33" i="2"/>
  <c r="B26" i="3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A24" i="15"/>
  <c r="A25" i="15"/>
  <c r="A27" i="15"/>
  <c r="A28" i="15"/>
  <c r="A29" i="15"/>
  <c r="A30" i="15"/>
  <c r="A31" i="15"/>
  <c r="A34" i="15"/>
  <c r="A35" i="15"/>
  <c r="A36" i="15"/>
  <c r="A38" i="15"/>
  <c r="A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E66" i="15" l="1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I6" i="19"/>
  <c r="K6" i="19" s="1"/>
  <c r="I5" i="19"/>
  <c r="K5" i="19" s="1"/>
  <c r="K2" i="19"/>
  <c r="H2" i="20"/>
  <c r="J2" i="20" s="1"/>
  <c r="H8" i="20"/>
  <c r="J8" i="20" s="1"/>
  <c r="I7" i="20"/>
  <c r="I6" i="20"/>
  <c r="K6" i="20" s="1"/>
  <c r="I5" i="20"/>
  <c r="K5" i="20" s="1"/>
  <c r="K8" i="20"/>
  <c r="H4" i="20"/>
  <c r="J4" i="20" s="1"/>
  <c r="I3" i="20"/>
  <c r="K3" i="20" s="1"/>
  <c r="K7" i="20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2" i="11"/>
  <c r="B63" i="15" s="1"/>
  <c r="B24" i="1"/>
  <c r="B28" i="7"/>
  <c r="E43" i="15" s="1"/>
  <c r="E22" i="15"/>
  <c r="B31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I8" i="7" s="1"/>
  <c r="G7" i="7"/>
  <c r="I7" i="7" s="1"/>
  <c r="G6" i="7"/>
  <c r="I6" i="7" s="1"/>
  <c r="G5" i="7"/>
  <c r="I5" i="7" s="1"/>
  <c r="G4" i="7"/>
  <c r="I4" i="7" s="1"/>
  <c r="G3" i="7"/>
  <c r="I3" i="7" s="1"/>
  <c r="G2" i="7"/>
  <c r="I2" i="7" s="1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L5" i="20" l="1"/>
  <c r="B22" i="19"/>
  <c r="B37" i="19" s="1"/>
  <c r="E69" i="15" s="1"/>
  <c r="C22" i="19"/>
  <c r="B39" i="19" s="1"/>
  <c r="E71" i="15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D15" i="18"/>
  <c r="B36" i="18" s="1"/>
  <c r="B15" i="18"/>
  <c r="B30" i="18" s="1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H2" i="7"/>
  <c r="J2" i="7" s="1"/>
  <c r="K2" i="7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J8" i="11"/>
  <c r="L8" i="11" s="1"/>
  <c r="J2" i="11"/>
  <c r="K2" i="11"/>
  <c r="J3" i="11"/>
  <c r="J4" i="11"/>
  <c r="J5" i="11"/>
  <c r="J6" i="1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D23" i="20" l="1"/>
  <c r="B44" i="20" s="1"/>
  <c r="B48" i="20" s="1"/>
  <c r="C23" i="4"/>
  <c r="B40" i="4" s="1"/>
  <c r="B10" i="15" s="1"/>
  <c r="B23" i="4"/>
  <c r="B38" i="4" s="1"/>
  <c r="B8" i="15" s="1"/>
  <c r="D22" i="19"/>
  <c r="B43" i="19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3" i="11"/>
  <c r="B40" i="11" s="1"/>
  <c r="B71" i="15" s="1"/>
  <c r="J8" i="7"/>
  <c r="L8" i="7" s="1"/>
  <c r="J7" i="7"/>
  <c r="L7" i="7" s="1"/>
  <c r="L6" i="7"/>
  <c r="L3" i="7"/>
  <c r="C23" i="7"/>
  <c r="B36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2" i="5"/>
  <c r="B39" i="5" s="1"/>
  <c r="B51" i="15" s="1"/>
  <c r="L5" i="5"/>
  <c r="L6" i="4"/>
  <c r="L7" i="6"/>
  <c r="C23" i="6"/>
  <c r="B40" i="6" s="1"/>
  <c r="E30" i="15" s="1"/>
  <c r="L4" i="11"/>
  <c r="L4" i="7"/>
  <c r="L2" i="11"/>
  <c r="B23" i="11"/>
  <c r="B38" i="11" s="1"/>
  <c r="L2" i="7"/>
  <c r="L4" i="6"/>
  <c r="L2" i="6"/>
  <c r="B23" i="6"/>
  <c r="B38" i="6" s="1"/>
  <c r="E28" i="15" s="1"/>
  <c r="L4" i="2"/>
  <c r="L2" i="2"/>
  <c r="L2" i="5"/>
  <c r="B22" i="5"/>
  <c r="B37" i="5" s="1"/>
  <c r="B49" i="15" s="1"/>
  <c r="B15" i="3"/>
  <c r="B30" i="3" s="1"/>
  <c r="L2" i="3"/>
  <c r="C15" i="3"/>
  <c r="B32" i="3" s="1"/>
  <c r="L4" i="13"/>
  <c r="L2" i="13"/>
  <c r="L2" i="4"/>
  <c r="B69" i="15" l="1"/>
  <c r="B44" i="11"/>
  <c r="B48" i="11" s="1"/>
  <c r="D23" i="4"/>
  <c r="B47" i="19"/>
  <c r="E79" i="15" s="1"/>
  <c r="E75" i="15"/>
  <c r="B36" i="1"/>
  <c r="B40" i="1" s="1"/>
  <c r="B36" i="16"/>
  <c r="B40" i="16" s="1"/>
  <c r="B99" i="15" s="1"/>
  <c r="B22" i="2"/>
  <c r="B37" i="2" s="1"/>
  <c r="D23" i="11"/>
  <c r="B23" i="7"/>
  <c r="B34" i="7" s="1"/>
  <c r="E49" i="15" s="1"/>
  <c r="D23" i="7"/>
  <c r="D22" i="5"/>
  <c r="D15" i="3"/>
  <c r="D23" i="6"/>
  <c r="D22" i="2"/>
  <c r="B42" i="1" l="1"/>
  <c r="B95" i="15"/>
  <c r="B79" i="15"/>
  <c r="B40" i="7"/>
  <c r="B44" i="7" s="1"/>
  <c r="E59" i="15" s="1"/>
  <c r="B43" i="5"/>
  <c r="B47" i="5" s="1"/>
  <c r="B59" i="15" s="1"/>
  <c r="B44" i="6"/>
  <c r="B48" i="6" s="1"/>
  <c r="E38" i="15" s="1"/>
  <c r="B43" i="2"/>
  <c r="B47" i="2" s="1"/>
  <c r="B36" i="3"/>
  <c r="B44" i="4"/>
  <c r="B48" i="4" s="1"/>
  <c r="B18" i="15" s="1"/>
  <c r="B75" i="15" l="1"/>
  <c r="E34" i="15"/>
  <c r="E55" i="15"/>
  <c r="B55" i="15"/>
  <c r="B40" i="3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<sst xmlns="http://schemas.openxmlformats.org/spreadsheetml/2006/main" count="1805" uniqueCount="213">
  <si>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</si>
  <si>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</si>
  <si>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</si>
  <si>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</si>
  <si>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</si>
  <si>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</si>
  <si>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</si>
  <si>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</si>
  <si>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</si>
  <si>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</si>
  <si>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</si>
  <si>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</si>
  <si>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</si>
  <si>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</si>
  <si>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</si>
  <si>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</si>
  <si>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</si>
  <si>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</si>
  <si>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</si>
  <si>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</si>
  <si>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</si>
  <si>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</si>
  <si>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</si>
  <si>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</si>
  <si>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</si>
  <si>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</si>
  <si>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</si>
  <si>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</si>
  <si>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</si>
  <si>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</si>
  <si>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</si>
  <si>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</si>
  <si>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</si>
  <si>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</si>
  <si>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</si>
  <si>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</si>
  <si>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</si>
  <si>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</si>
  <si>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</si>
  <si>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</si>
  <si>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</si>
  <si>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</si>
  <si>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</si>
  <si>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</si>
  <si>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</si>
  <si>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</si>
  <si>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</si>
  <si>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</si>
  <si>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</si>
  <si>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</si>
  <si>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</si>
  <si>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</si>
  <si>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</si>
  <si>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</si>
  <si>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</si>
  <si>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</si>
  <si>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</si>
  <si>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</si>
  <si>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</si>
  <si>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</si>
  <si>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</si>
  <si>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</si>
  <si>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</si>
  <si>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</si>
  <si>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</si>
  <si>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</si>
  <si>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</si>
  <si>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</si>
  <si>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</si>
  <si>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</si>
  <si>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</si>
  <si>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</si>
  <si>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</si>
  <si>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</si>
  <si>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</si>
  <si>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</si>
  <si>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</si>
  <si>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</si>
  <si>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</si>
  <si>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</si>
  <si>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</si>
  <si>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</si>
  <si>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</si>
  <si>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</si>
  <si>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</si>
  <si>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</si>
  <si>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</si>
  <si>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</si>
  <si>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</si>
  <si>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</si>
  <si>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</si>
  <si>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</si>
  <si>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</si>
  <si>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</si>
  <si>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</si>
  <si>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</si>
  <si>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</si>
  <si>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</si>
  <si>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</si>
  <si>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</si>
  <si>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</si>
  <si>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Kent</t>
  </si>
  <si>
    <t>kent</t>
  </si>
  <si>
    <t>Cook</t>
  </si>
  <si>
    <t>10:00</t>
  </si>
  <si>
    <t>08:00</t>
  </si>
  <si>
    <t>21:35</t>
  </si>
  <si>
    <t>09:08</t>
  </si>
  <si>
    <t>2026-04-21</t>
  </si>
  <si>
    <t>2026-04-22</t>
  </si>
  <si>
    <t>2026-04-23</t>
  </si>
  <si>
    <t>2026-04-24</t>
  </si>
  <si>
    <t>2026-04-25</t>
  </si>
  <si>
    <t>2026-04-26</t>
  </si>
  <si>
    <t>08:54</t>
  </si>
  <si>
    <t>21:34</t>
  </si>
  <si>
    <t>Pepito</t>
  </si>
  <si>
    <t>Micky</t>
  </si>
  <si>
    <t>Kim</t>
  </si>
  <si>
    <t>micky harabi</t>
  </si>
  <si>
    <t>pepito</t>
  </si>
  <si>
    <t>09:17</t>
  </si>
  <si>
    <t>2026-04-27</t>
  </si>
  <si>
    <t>22:16</t>
  </si>
  <si>
    <t>2026-04-28</t>
  </si>
  <si>
    <t>2026-04-29</t>
  </si>
  <si>
    <t>2026-04-30</t>
  </si>
  <si>
    <t>2026-05-01</t>
  </si>
  <si>
    <t>08:44</t>
  </si>
  <si>
    <t>2026-05-02</t>
  </si>
  <si>
    <t>2026-05-03</t>
  </si>
  <si>
    <t>21:02</t>
  </si>
  <si>
    <t>09:28</t>
  </si>
  <si>
    <t>sheen valles</t>
  </si>
  <si>
    <t>09:11</t>
  </si>
  <si>
    <t>21:22</t>
  </si>
  <si>
    <t>09:12</t>
  </si>
  <si>
    <t>21:49</t>
  </si>
  <si>
    <t>22:30</t>
  </si>
  <si>
    <t>Sheen Valles</t>
  </si>
  <si>
    <t>8:00</t>
  </si>
  <si>
    <t>13:00</t>
  </si>
  <si>
    <t>2026-05-05</t>
  </si>
  <si>
    <t>08:39</t>
  </si>
  <si>
    <t>2026-05-06</t>
  </si>
  <si>
    <t>2026-05-07</t>
  </si>
  <si>
    <t>15:43</t>
  </si>
  <si>
    <t>21:56</t>
  </si>
  <si>
    <t>2026-05-08</t>
  </si>
  <si>
    <t>08:56</t>
  </si>
  <si>
    <t>2026-05-09</t>
  </si>
  <si>
    <t>22:03</t>
  </si>
  <si>
    <t>2026-05-10</t>
  </si>
  <si>
    <t>08:25</t>
  </si>
  <si>
    <t>2026-05-11</t>
  </si>
  <si>
    <t>08:59</t>
  </si>
  <si>
    <t>21:52</t>
  </si>
  <si>
    <t>2026-05-12</t>
  </si>
  <si>
    <t>15:20</t>
  </si>
  <si>
    <t>21:47</t>
  </si>
  <si>
    <t>2026-05-13</t>
  </si>
  <si>
    <t>08:31</t>
  </si>
  <si>
    <t>2026-05-14</t>
  </si>
  <si>
    <t>2026-05-15</t>
  </si>
  <si>
    <t>08:58</t>
  </si>
  <si>
    <t>21:32</t>
  </si>
  <si>
    <t>08:47</t>
  </si>
  <si>
    <t>23:06</t>
  </si>
  <si>
    <t>09:15</t>
  </si>
  <si>
    <t>21:18</t>
  </si>
  <si>
    <t>08:51</t>
  </si>
  <si>
    <t>21:05</t>
  </si>
  <si>
    <t>17:21</t>
  </si>
  <si>
    <t>22:04</t>
  </si>
  <si>
    <t>23:21</t>
  </si>
  <si>
    <t>21:50</t>
  </si>
  <si>
    <t>08:50</t>
  </si>
  <si>
    <t>09:06</t>
  </si>
  <si>
    <t>22:07</t>
  </si>
  <si>
    <t>21:55</t>
  </si>
  <si>
    <t>22:29</t>
  </si>
  <si>
    <t>08:45</t>
  </si>
  <si>
    <t>22:06</t>
  </si>
  <si>
    <t>08:13</t>
  </si>
  <si>
    <t>23:18</t>
  </si>
  <si>
    <t>21:45</t>
  </si>
  <si>
    <t>15:05</t>
  </si>
  <si>
    <t>09:19</t>
  </si>
  <si>
    <t>21:31</t>
  </si>
  <si>
    <t>21:16</t>
  </si>
  <si>
    <t>21:15</t>
  </si>
  <si>
    <t>21:07</t>
  </si>
  <si>
    <t>09:14</t>
  </si>
  <si>
    <t>09:07</t>
  </si>
  <si>
    <t>21:03</t>
  </si>
  <si>
    <t>21:28</t>
  </si>
  <si>
    <t>10:09</t>
  </si>
  <si>
    <t>22:33</t>
  </si>
  <si>
    <t>17:41</t>
  </si>
  <si>
    <t>10:23</t>
  </si>
  <si>
    <t>2026-05-04</t>
  </si>
  <si>
    <t>niel</t>
  </si>
  <si>
    <t>21:41</t>
  </si>
  <si>
    <t>aldrin</t>
  </si>
  <si>
    <t>10:10</t>
  </si>
  <si>
    <t>22:17</t>
  </si>
  <si>
    <t>15:30</t>
  </si>
  <si>
    <t>9:00</t>
  </si>
  <si>
    <t>9:30</t>
  </si>
  <si>
    <t>9:25</t>
  </si>
  <si>
    <t>18:30</t>
  </si>
  <si>
    <t>May-04 to May-15, 2026</t>
  </si>
  <si>
    <t>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</si>
</sst>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4" borderId="0" xfId="0" applyNumberFormat="1" applyFill="1"/>
    <xf numFmtId="167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zoomScale="130" zoomScaleNormal="100" zoomScaleSheetLayoutView="130" workbookViewId="0">
      <selection activeCell="C23" sqref="C23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6" t="s">
        <v>39</v>
      </c>
      <c r="B1" s="36"/>
      <c r="D1" s="36" t="s">
        <v>39</v>
      </c>
      <c r="E1" s="36"/>
    </row>
    <row r="2" spans="1:5">
      <c r="A2" s="18" t="str">
        <f>Kent!A32</f>
        <v>Name:</v>
      </c>
      <c r="B2" s="18" t="str">
        <f>Kent!B32</f>
        <v>Kent</v>
      </c>
      <c r="C2" s="7"/>
      <c r="D2" s="18" t="str">
        <f>'Jay Anne'!A24</f>
        <v>Name:</v>
      </c>
      <c r="E2" s="18" t="str">
        <f>Micky!B31</f>
        <v>Micky</v>
      </c>
    </row>
    <row r="3" spans="1:5">
      <c r="A3" s="18" t="str">
        <f>Kent!A33</f>
        <v>Job Title:</v>
      </c>
      <c r="B3" s="18" t="str">
        <f>Kent!B33</f>
        <v>Cook</v>
      </c>
      <c r="C3" s="7"/>
      <c r="D3" s="18" t="str">
        <f>'Jay Anne'!A25</f>
        <v>Job Title:</v>
      </c>
      <c r="E3" s="18" t="str">
        <f>Micky!B32</f>
        <v>Staff</v>
      </c>
    </row>
    <row r="4" spans="1:5">
      <c r="A4" s="18" t="str">
        <f>Kent!A34</f>
        <v>Payment Date:</v>
      </c>
      <c r="B4" s="19">
        <f>Kent!B34</f>
        <v>46150</v>
      </c>
      <c r="C4" s="7"/>
      <c r="D4" s="18" t="str">
        <f>'Jay Anne'!A26</f>
        <v>Payment Date:</v>
      </c>
      <c r="E4" s="35">
        <f>Micky!B33</f>
        <v>46150</v>
      </c>
    </row>
    <row r="5" spans="1:5">
      <c r="A5" s="18" t="str">
        <f>Kent!A35</f>
        <v>Cut Off Period:</v>
      </c>
      <c r="B5" s="18" t="str">
        <f>Kent!B35</f>
        <v>May-04 to May-15, 2026</v>
      </c>
      <c r="C5" s="7"/>
      <c r="D5" s="18" t="str">
        <f>'Jay Anne'!A27</f>
        <v>Cut Off Period:</v>
      </c>
      <c r="E5" s="18" t="str">
        <f>Micky!B34</f>
        <v>May-04 to May-15, 2026</v>
      </c>
    </row>
    <row r="6" spans="1:5">
      <c r="A6" s="18" t="str">
        <f>Kent!A36</f>
        <v>Days Worked</v>
      </c>
      <c r="B6" s="18">
        <f>Kent!B36</f>
        <v>7</v>
      </c>
      <c r="C6" s="7"/>
      <c r="D6" s="18" t="str">
        <f>'Jay Anne'!A28</f>
        <v>Days Worked</v>
      </c>
      <c r="E6" s="18">
        <f>Micky!B35</f>
        <v>8</v>
      </c>
    </row>
    <row r="7" spans="1:5">
      <c r="A7" s="20" t="str">
        <f>Kent!A37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Kent!A38</f>
        <v>Basic Pay</v>
      </c>
      <c r="B8" s="14">
        <f>Kent!B38</f>
        <v>2450</v>
      </c>
      <c r="C8" s="7"/>
      <c r="D8" s="18" t="str">
        <f>'Jay Anne'!A30</f>
        <v>Basic Pay</v>
      </c>
      <c r="E8" s="14">
        <f>Micky!B37</f>
        <v>1931.25</v>
      </c>
    </row>
    <row r="9" spans="1:5">
      <c r="A9" s="18" t="str">
        <f>Kent!A39</f>
        <v>Bonus/Incentives</v>
      </c>
      <c r="B9" s="14">
        <f>Kent!B39</f>
        <v>0</v>
      </c>
      <c r="C9" s="7"/>
      <c r="D9" s="18" t="str">
        <f>'Jay Anne'!A31</f>
        <v>Bonus/Incentives</v>
      </c>
      <c r="E9" s="14">
        <f>Micky!B38</f>
        <v>0</v>
      </c>
    </row>
    <row r="10" spans="1:5">
      <c r="A10" s="18" t="str">
        <f>Kent!A40</f>
        <v>Overtime Pay</v>
      </c>
      <c r="B10" s="14">
        <f>Kent!B40</f>
        <v>1181.25</v>
      </c>
      <c r="C10" s="7"/>
      <c r="D10" s="18" t="str">
        <f>'Jay Anne'!A32</f>
        <v>Overtime Pay</v>
      </c>
      <c r="E10" s="14">
        <f>Micky!B39</f>
        <v>652.5</v>
      </c>
    </row>
    <row r="11" spans="1:5">
      <c r="A11" s="18" t="str">
        <f>Kent!A41</f>
        <v>Other Income</v>
      </c>
      <c r="B11" s="14">
        <f>Kent!B41</f>
        <v>0</v>
      </c>
      <c r="C11" s="7"/>
      <c r="D11" s="18" t="str">
        <f>'Jay Anne'!A33</f>
        <v>Other Income</v>
      </c>
      <c r="E11" s="14">
        <f>Micky!B40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Kent!A44</f>
        <v>Gross Pay</v>
      </c>
      <c r="B14" s="14">
        <f>Kent!B44</f>
        <v>3631.25</v>
      </c>
      <c r="C14" s="7"/>
      <c r="D14" s="21" t="str">
        <f>'Jay Anne'!A36</f>
        <v>Gross Pay</v>
      </c>
      <c r="E14" s="14">
        <f>Micky!B43</f>
        <v>2583.75</v>
      </c>
    </row>
    <row r="15" spans="1:5">
      <c r="A15" s="18" t="str">
        <f>Kent!A45</f>
        <v>Deductions</v>
      </c>
      <c r="B15" s="14">
        <f>Kent!B45</f>
        <v>0</v>
      </c>
      <c r="C15" s="7"/>
      <c r="D15" s="18" t="str">
        <f>'Jay Anne'!A37</f>
        <v>Deductions</v>
      </c>
      <c r="E15" s="14">
        <f>Micky!B44</f>
        <v>0</v>
      </c>
    </row>
    <row r="16" spans="1:5">
      <c r="A16" s="18" t="str">
        <f>Kent!A46</f>
        <v>WH Tax</v>
      </c>
      <c r="B16" s="14">
        <f>Kent!B46</f>
        <v>0</v>
      </c>
      <c r="C16" s="7"/>
      <c r="D16" s="18" t="str">
        <f>'Jay Anne'!A38</f>
        <v>WH Tax</v>
      </c>
      <c r="E16" s="14">
        <f>Micky!B45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Kent!A48</f>
        <v>Net Pay</v>
      </c>
      <c r="B18" s="14">
        <f>Kent!B48</f>
        <v>3631.25</v>
      </c>
      <c r="C18" s="7"/>
      <c r="D18" s="20" t="str">
        <f>'Jay Anne'!A40</f>
        <v>Net Pay</v>
      </c>
      <c r="E18" s="14">
        <f>Micky!B47</f>
        <v>2583.75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6" t="s">
        <v>39</v>
      </c>
      <c r="B21" s="36"/>
      <c r="D21" s="36" t="s">
        <v>39</v>
      </c>
      <c r="E21" s="36"/>
    </row>
    <row r="22" spans="1:5">
      <c r="A22" s="18" t="str">
        <f>Kris!A31</f>
        <v>Name:</v>
      </c>
      <c r="B22" s="18" t="str">
        <f>Sheen!B32</f>
        <v>Sheen Valles</v>
      </c>
      <c r="C22" s="7"/>
      <c r="D22" s="18" t="str">
        <f>Pepito!A32</f>
        <v>Name:</v>
      </c>
      <c r="E22" s="18" t="str">
        <f>Pepito!B32</f>
        <v>Pepito</v>
      </c>
    </row>
    <row r="23" spans="1:5">
      <c r="A23" s="18" t="str">
        <f>Kris!A32</f>
        <v>Job Title:</v>
      </c>
      <c r="B23" s="18" t="str">
        <f>Sheen!B33</f>
        <v>Staff</v>
      </c>
      <c r="C23" s="7"/>
      <c r="D23" s="18" t="str">
        <f>Pepito!A33</f>
        <v>Job Title:</v>
      </c>
      <c r="E23" s="18" t="str">
        <f>Pepito!B33</f>
        <v>Staff</v>
      </c>
    </row>
    <row r="24" spans="1:5">
      <c r="A24" s="18" t="str">
        <f>Kris!A33</f>
        <v>Payment Date:</v>
      </c>
      <c r="B24" s="35">
        <f>Sheen!B34</f>
        <v>46150</v>
      </c>
      <c r="C24" s="7"/>
      <c r="D24" s="18" t="str">
        <f>Pepito!A34</f>
        <v>Payment Date:</v>
      </c>
      <c r="E24" s="19">
        <f>Pepito!B34</f>
        <v>46150</v>
      </c>
    </row>
    <row r="25" spans="1:5">
      <c r="A25" s="18" t="str">
        <f>Kris!A34</f>
        <v>Cut Off Period:</v>
      </c>
      <c r="B25" s="18" t="str">
        <f>Sheen!B35</f>
        <v>May-04 to May-15, 2026</v>
      </c>
      <c r="C25" s="7"/>
      <c r="D25" s="18" t="str">
        <f>Pepito!A35</f>
        <v>Cut Off Period:</v>
      </c>
      <c r="E25" s="18" t="str">
        <f>Pepito!B35</f>
        <v>May-04 to May-15, 2026</v>
      </c>
    </row>
    <row r="26" spans="1:5">
      <c r="A26" s="18" t="str">
        <f>Kris!A35</f>
        <v>Days Worked</v>
      </c>
      <c r="B26" s="18">
        <f>Sheen!B36</f>
        <v>8</v>
      </c>
      <c r="C26" s="7"/>
      <c r="D26" s="18" t="str">
        <f>Pepito!A36</f>
        <v>Days Worked</v>
      </c>
      <c r="E26" s="18">
        <f>Pepito!B36</f>
        <v>9</v>
      </c>
    </row>
    <row r="27" spans="1:5">
      <c r="A27" s="20" t="str">
        <f>Kris!A36</f>
        <v>Adjustments</v>
      </c>
      <c r="B27" s="18"/>
      <c r="C27" s="7"/>
      <c r="D27" s="18" t="str">
        <f>Pepito!A37</f>
        <v>Adjustments</v>
      </c>
      <c r="E27" s="18"/>
    </row>
    <row r="28" spans="1:5">
      <c r="A28" s="18" t="str">
        <f>Kris!A37</f>
        <v>Basic Pay</v>
      </c>
      <c r="B28" s="14">
        <f>Sheen!B38</f>
        <v>1900</v>
      </c>
      <c r="C28" s="7"/>
      <c r="D28" s="18" t="str">
        <f>Pepito!A38</f>
        <v>Basic Pay</v>
      </c>
      <c r="E28" s="14">
        <f>Pepito!B38</f>
        <v>2865.625</v>
      </c>
    </row>
    <row r="29" spans="1:5">
      <c r="A29" s="18" t="str">
        <f>Kris!A38</f>
        <v>Bonus/Incentives</v>
      </c>
      <c r="B29" s="14">
        <f>Sheen!B39</f>
        <v>0</v>
      </c>
      <c r="C29" s="7"/>
      <c r="D29" s="18" t="str">
        <f>Pepito!A39</f>
        <v>Bonus/Incentives</v>
      </c>
      <c r="E29" s="14">
        <f>Pepito!B39</f>
        <v>0</v>
      </c>
    </row>
    <row r="30" spans="1:5">
      <c r="A30" s="18" t="str">
        <f>Kris!A39</f>
        <v>Overtime Pay</v>
      </c>
      <c r="B30" s="14">
        <f>Sheen!B40</f>
        <v>922.5</v>
      </c>
      <c r="C30" s="7"/>
      <c r="D30" s="18" t="str">
        <f>Pepito!A40</f>
        <v>Overtime Pay</v>
      </c>
      <c r="E30" s="14">
        <f>Pepito!B40</f>
        <v>1102.5</v>
      </c>
    </row>
    <row r="31" spans="1:5">
      <c r="A31" s="18" t="str">
        <f>Kris!A40</f>
        <v>Other Income</v>
      </c>
      <c r="B31" s="14">
        <f>Sheen!B41</f>
        <v>0</v>
      </c>
      <c r="C31" s="7"/>
      <c r="D31" s="18" t="str">
        <f>Pepito!A41</f>
        <v>Other Income</v>
      </c>
      <c r="E31" s="14">
        <f>Pepito!B41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Kris!A43</f>
        <v>Gross Pay</v>
      </c>
      <c r="B34" s="14">
        <f>Sheen!B44</f>
        <v>2822.5</v>
      </c>
      <c r="C34" s="7"/>
      <c r="D34" s="21" t="str">
        <f>Pepito!A44</f>
        <v>Gross Pay</v>
      </c>
      <c r="E34" s="14">
        <f>Pepito!B44</f>
        <v>3968.125</v>
      </c>
    </row>
    <row r="35" spans="1:5">
      <c r="A35" s="18" t="str">
        <f>Kris!A44</f>
        <v>Deductions</v>
      </c>
      <c r="B35" s="14">
        <f>Sheen!B45</f>
        <v>0</v>
      </c>
      <c r="C35" s="7"/>
      <c r="D35" s="18" t="str">
        <f>Pepito!A45</f>
        <v>Deductions</v>
      </c>
      <c r="E35" s="14">
        <f>Pepito!B45</f>
        <v>0</v>
      </c>
    </row>
    <row r="36" spans="1:5">
      <c r="A36" s="18" t="str">
        <f>Kris!A45</f>
        <v>WH Tax</v>
      </c>
      <c r="B36" s="14">
        <f>Sheen!B46</f>
        <v>0</v>
      </c>
      <c r="C36" s="7"/>
      <c r="D36" s="18" t="str">
        <f>Pepito!A46</f>
        <v>WH Tax</v>
      </c>
      <c r="E36" s="14">
        <f>Pepito!B46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Kris!A47</f>
        <v>Net Pay</v>
      </c>
      <c r="B38" s="14">
        <f>Sheen!B48</f>
        <v>2822.5</v>
      </c>
      <c r="C38" s="7"/>
      <c r="D38" s="20" t="str">
        <f>Pepito!A48</f>
        <v>Net Pay</v>
      </c>
      <c r="E38" s="14">
        <f>Pepito!B48</f>
        <v>3968.125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6" t="s">
        <v>39</v>
      </c>
      <c r="B42" s="36"/>
      <c r="D42" s="36" t="s">
        <v>39</v>
      </c>
      <c r="E42" s="36"/>
    </row>
    <row r="43" spans="1:5">
      <c r="A43" s="18" t="str">
        <f>Cherry!A31</f>
        <v>Name:</v>
      </c>
      <c r="B43" s="18" t="str">
        <f>Cherry!B31</f>
        <v>Cherry</v>
      </c>
      <c r="C43" s="7"/>
      <c r="D43" s="18" t="str">
        <f>Kim!A28</f>
        <v>Name:</v>
      </c>
      <c r="E43" s="18" t="str">
        <f>Kim!B28</f>
        <v>Kim</v>
      </c>
    </row>
    <row r="44" spans="1:5">
      <c r="A44" s="18" t="str">
        <f>Cherry!A32</f>
        <v>Job Title:</v>
      </c>
      <c r="B44" s="18" t="str">
        <f>Cherry!B32</f>
        <v>Staff</v>
      </c>
      <c r="C44" s="7"/>
      <c r="D44" s="18" t="str">
        <f>Kim!A29</f>
        <v>Job Title:</v>
      </c>
      <c r="E44" s="18" t="str">
        <f>Kim!B29</f>
        <v>Staff</v>
      </c>
    </row>
    <row r="45" spans="1:5">
      <c r="A45" s="18" t="str">
        <f>Cherry!A33</f>
        <v>Payment Date:</v>
      </c>
      <c r="B45" s="19">
        <f>Cherry!B33</f>
        <v>46150</v>
      </c>
      <c r="C45" s="7"/>
      <c r="D45" s="18" t="str">
        <f>Kim!A30</f>
        <v>Payment Date:</v>
      </c>
      <c r="E45" s="19">
        <f>Kim!B30</f>
        <v>46150</v>
      </c>
    </row>
    <row r="46" spans="1:5">
      <c r="A46" s="18" t="str">
        <f>Cherry!A34</f>
        <v>Cut Off Period:</v>
      </c>
      <c r="B46" s="18" t="str">
        <f>Cherry!B34</f>
        <v>May-04 to May-15, 2026</v>
      </c>
      <c r="C46" s="7"/>
      <c r="D46" s="18" t="str">
        <f>Kim!A31</f>
        <v>Cut Off Period:</v>
      </c>
      <c r="E46" s="18" t="str">
        <f>Kim!B31</f>
        <v>May-04 to May-15, 2026</v>
      </c>
    </row>
    <row r="47" spans="1:5">
      <c r="A47" s="18" t="str">
        <f>Cherry!A35</f>
        <v>Days Worked</v>
      </c>
      <c r="B47" s="18">
        <f>Cherry!B35</f>
        <v>10</v>
      </c>
      <c r="C47" s="7"/>
      <c r="D47" s="18" t="str">
        <f>Kim!A32</f>
        <v>Days Worked</v>
      </c>
      <c r="E47" s="18">
        <f>Kim!B32</f>
        <v>6</v>
      </c>
    </row>
    <row r="48" spans="1:5">
      <c r="A48" s="20" t="str">
        <f>Cherry!A36</f>
        <v>Adjustments</v>
      </c>
      <c r="B48" s="18"/>
      <c r="C48" s="7"/>
      <c r="D48" s="20" t="str">
        <f>Kim!A33</f>
        <v>Adjustments</v>
      </c>
      <c r="E48" s="18"/>
    </row>
    <row r="49" spans="1:5">
      <c r="A49" s="18" t="str">
        <f>Cherry!A37</f>
        <v>Basic Pay</v>
      </c>
      <c r="B49" s="14">
        <f>Cherry!B37</f>
        <v>3562.5</v>
      </c>
      <c r="C49" s="7"/>
      <c r="D49" s="18" t="str">
        <f>Kim!A34</f>
        <v>Basic Pay</v>
      </c>
      <c r="E49" s="14">
        <f>Kim!B34</f>
        <v>1859.375</v>
      </c>
    </row>
    <row r="50" spans="1:5">
      <c r="A50" s="18" t="str">
        <f>Cherry!A38</f>
        <v>Bonus/Incentives</v>
      </c>
      <c r="B50" s="14">
        <f>Cherry!B38</f>
        <v>0</v>
      </c>
      <c r="C50" s="7"/>
      <c r="D50" s="18" t="str">
        <f>Kim!A35</f>
        <v>Bonus/Incentives</v>
      </c>
      <c r="E50" s="14">
        <f>Kim!B35</f>
        <v>0</v>
      </c>
    </row>
    <row r="51" spans="1:5">
      <c r="A51" s="18" t="str">
        <f>Cherry!A39</f>
        <v>Overtime Pay</v>
      </c>
      <c r="B51" s="14">
        <f>Cherry!B39</f>
        <v>1828.125</v>
      </c>
      <c r="C51" s="7"/>
      <c r="D51" s="18" t="str">
        <f>Kim!A36</f>
        <v>Overtime Pay</v>
      </c>
      <c r="E51" s="14">
        <f>Kim!B36</f>
        <v>630.00000000000034</v>
      </c>
    </row>
    <row r="52" spans="1:5">
      <c r="A52" s="18" t="str">
        <f>Cherry!A40</f>
        <v>Other Income</v>
      </c>
      <c r="B52" s="14">
        <f>Cherry!B40</f>
        <v>0</v>
      </c>
      <c r="C52" s="7"/>
      <c r="D52" s="18" t="str">
        <f>Kim!A37</f>
        <v>Other Income</v>
      </c>
      <c r="E52" s="14">
        <f>Kim!B37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Cherry!A43</f>
        <v>Gross Pay</v>
      </c>
      <c r="B55" s="14">
        <f>Cherry!B43</f>
        <v>5390.625</v>
      </c>
      <c r="C55" s="7"/>
      <c r="D55" s="18" t="str">
        <f>Kim!A40</f>
        <v>Gross Pay</v>
      </c>
      <c r="E55" s="14">
        <f>Kim!B40</f>
        <v>2489.375</v>
      </c>
    </row>
    <row r="56" spans="1:5">
      <c r="A56" s="18" t="str">
        <f>Cherry!A44</f>
        <v>Deductions</v>
      </c>
      <c r="B56" s="14">
        <f>Cherry!B44</f>
        <v>0</v>
      </c>
      <c r="C56" s="7"/>
      <c r="D56" s="18" t="str">
        <f>Kim!A41</f>
        <v>Deductions</v>
      </c>
      <c r="E56" s="14">
        <f>Kim!B41</f>
        <v>0</v>
      </c>
    </row>
    <row r="57" spans="1:5">
      <c r="A57" s="18" t="str">
        <f>Cherry!A45</f>
        <v>WH Tax</v>
      </c>
      <c r="B57" s="14">
        <f>Cherry!B45</f>
        <v>0</v>
      </c>
      <c r="C57" s="7"/>
      <c r="D57" s="18" t="str">
        <f>Kim!A42</f>
        <v>WH Tax</v>
      </c>
      <c r="E57" s="14">
        <f>Kim!B42</f>
        <v>0</v>
      </c>
    </row>
    <row r="58" spans="1:5">
      <c r="A58" s="18"/>
      <c r="B58" s="14"/>
      <c r="C58" s="7"/>
      <c r="D58" s="18"/>
      <c r="E58" s="14"/>
    </row>
    <row r="59" spans="1:5">
      <c r="A59" s="20" t="str">
        <f>Cherry!A47</f>
        <v>Net Pay</v>
      </c>
      <c r="B59" s="14">
        <f>Cherry!B47</f>
        <v>5390.625</v>
      </c>
      <c r="C59" s="7"/>
      <c r="D59" s="20" t="str">
        <f>Kim!A44</f>
        <v>Net Pay</v>
      </c>
      <c r="E59" s="14">
        <f>Kim!B44</f>
        <v>2489.375</v>
      </c>
    </row>
    <row r="60" spans="1:5">
      <c r="A60" s="7"/>
      <c r="B60" s="7"/>
      <c r="C60" s="7"/>
      <c r="D60" s="7"/>
      <c r="E60" s="7"/>
    </row>
    <row r="62" spans="1:5" ht="17.399999999999999">
      <c r="A62" s="36" t="s">
        <v>39</v>
      </c>
      <c r="B62" s="36"/>
      <c r="D62" s="36" t="s">
        <v>39</v>
      </c>
      <c r="E62" s="36"/>
    </row>
    <row r="63" spans="1:5">
      <c r="A63" s="10" t="str">
        <f>Mark!A32</f>
        <v>Name:</v>
      </c>
      <c r="B63" s="10" t="str">
        <f>Mark!B32</f>
        <v>Mark</v>
      </c>
      <c r="D63" s="10" t="str">
        <f>Chardiya!A24</f>
        <v>Name:</v>
      </c>
      <c r="E63" s="10" t="str">
        <f>Micky!B31</f>
        <v>Micky</v>
      </c>
    </row>
    <row r="64" spans="1:5">
      <c r="A64" s="10" t="str">
        <f>Mark!A33</f>
        <v>Job Title:</v>
      </c>
      <c r="B64" s="10" t="str">
        <f>Mark!B33</f>
        <v>Staff</v>
      </c>
      <c r="D64" s="10" t="str">
        <f>Chardiya!A25</f>
        <v>Job Title:</v>
      </c>
      <c r="E64" s="10" t="str">
        <f>Micky!B32</f>
        <v>Staff</v>
      </c>
    </row>
    <row r="65" spans="1:5">
      <c r="A65" s="10" t="str">
        <f>Mark!A34</f>
        <v>Payment Date:</v>
      </c>
      <c r="B65" s="19">
        <f>Mark!B34</f>
        <v>46150</v>
      </c>
      <c r="D65" s="10" t="str">
        <f>Chardiya!A26</f>
        <v>Payment Date:</v>
      </c>
      <c r="E65" s="10">
        <f>Micky!B33</f>
        <v>46150</v>
      </c>
    </row>
    <row r="66" spans="1:5">
      <c r="A66" s="10" t="str">
        <f>Mark!A35</f>
        <v>Cut Off Period:</v>
      </c>
      <c r="B66" s="10" t="str">
        <f>Mark!B35</f>
        <v>May-04 to May-15, 2026</v>
      </c>
      <c r="D66" s="10" t="str">
        <f>Chardiya!A27</f>
        <v>Cut Off Period:</v>
      </c>
      <c r="E66" s="10" t="str">
        <f>Micky!B34</f>
        <v>May-04 to May-15, 2026</v>
      </c>
    </row>
    <row r="67" spans="1:5">
      <c r="A67" s="10" t="str">
        <f>Mark!A36</f>
        <v>Days Worked</v>
      </c>
      <c r="B67" s="10">
        <f>Mark!B36</f>
        <v>11</v>
      </c>
      <c r="D67" s="10" t="str">
        <f>Chardiya!A28</f>
        <v>Days Worked</v>
      </c>
      <c r="E67" s="10">
        <f>Micky!B35</f>
        <v>8</v>
      </c>
    </row>
    <row r="68" spans="1:5">
      <c r="A68" s="13" t="str">
        <f>Mark!A37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Mark!A38</f>
        <v>Basic Pay</v>
      </c>
      <c r="B69" s="14">
        <f>Mark!B38</f>
        <v>3836.1458333333335</v>
      </c>
      <c r="D69" s="10" t="str">
        <f>Chardiya!A30</f>
        <v>Basic Pay</v>
      </c>
      <c r="E69" s="14">
        <f>Micky!B37</f>
        <v>1931.25</v>
      </c>
    </row>
    <row r="70" spans="1:5">
      <c r="A70" s="10" t="str">
        <f>Mark!A39</f>
        <v>Bonus/Incentives</v>
      </c>
      <c r="B70" s="14">
        <f>Mark!B39</f>
        <v>0</v>
      </c>
      <c r="D70" s="10" t="str">
        <f>Chardiya!A31</f>
        <v>Bonus/Incentives</v>
      </c>
      <c r="E70" s="14">
        <f>Micky!B38</f>
        <v>0</v>
      </c>
    </row>
    <row r="71" spans="1:5">
      <c r="A71" s="10" t="str">
        <f>Mark!A40</f>
        <v>Overtime Pay</v>
      </c>
      <c r="B71" s="14">
        <f>Mark!B40</f>
        <v>1261.7499999999998</v>
      </c>
      <c r="D71" s="10" t="str">
        <f>Chardiya!A32</f>
        <v>Overtime Pay</v>
      </c>
      <c r="E71" s="14">
        <f>Micky!B39</f>
        <v>652.5</v>
      </c>
    </row>
    <row r="72" spans="1:5">
      <c r="A72" s="10" t="str">
        <f>Mark!A41</f>
        <v>Other Income</v>
      </c>
      <c r="B72" s="14">
        <f>Mark!B41</f>
        <v>315</v>
      </c>
      <c r="D72" s="10" t="str">
        <f>Chardiya!A33</f>
        <v>Other Income</v>
      </c>
      <c r="E72" s="14">
        <f>Micky!B40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Mark!A44</f>
        <v>Gross Pay</v>
      </c>
      <c r="B75" s="14">
        <f>Mark!B44</f>
        <v>5412.895833333333</v>
      </c>
      <c r="D75" s="10" t="str">
        <f>Chardiya!A36</f>
        <v>Gross Pay</v>
      </c>
      <c r="E75" s="14">
        <f>Micky!B43</f>
        <v>2583.75</v>
      </c>
    </row>
    <row r="76" spans="1:5">
      <c r="A76" s="10" t="str">
        <f>Mark!A45</f>
        <v>Deductions</v>
      </c>
      <c r="B76" s="14">
        <f>Mark!B45</f>
        <v>0</v>
      </c>
      <c r="D76" s="10" t="str">
        <f>Chardiya!A37</f>
        <v>Deductions</v>
      </c>
      <c r="E76" s="14">
        <f>Micky!B44</f>
        <v>0</v>
      </c>
    </row>
    <row r="77" spans="1:5">
      <c r="A77" s="10" t="str">
        <f>Mark!A46</f>
        <v>WH Tax</v>
      </c>
      <c r="B77" s="14">
        <f>Mark!B46</f>
        <v>0</v>
      </c>
      <c r="D77" s="10" t="str">
        <f>Chardiya!A38</f>
        <v>WH Tax</v>
      </c>
      <c r="E77" s="14">
        <f>Micky!B45</f>
        <v>0</v>
      </c>
    </row>
    <row r="78" spans="1:5">
      <c r="A78" s="10"/>
      <c r="B78" s="14"/>
      <c r="D78" s="10"/>
      <c r="E78" s="14"/>
    </row>
    <row r="79" spans="1:5">
      <c r="A79" s="13" t="str">
        <f>Mark!A48</f>
        <v>Net Pay</v>
      </c>
      <c r="B79" s="14">
        <f>Mark!B48</f>
        <v>5412.895833333333</v>
      </c>
      <c r="D79" s="13" t="str">
        <f>Chardiya!A40</f>
        <v>Net Pay</v>
      </c>
      <c r="E79" s="14">
        <f>Micky!B47</f>
        <v>2583.75</v>
      </c>
    </row>
    <row r="82" spans="1:5" ht="17.399999999999999">
      <c r="A82" s="36" t="s">
        <v>39</v>
      </c>
      <c r="B82" s="36"/>
      <c r="D82" s="36" t="s">
        <v>39</v>
      </c>
      <c r="E82" s="36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46069</v>
      </c>
    </row>
    <row r="86" spans="1:5">
      <c r="A86" s="10" t="str">
        <f>Lenard!A27</f>
        <v>Cut Off Period:</v>
      </c>
      <c r="B86" s="10" t="str">
        <f>Lenard!B27</f>
        <v>May-04 to May-15, 2026</v>
      </c>
      <c r="D86" s="10" t="str">
        <f>David!A27</f>
        <v>Cut Off Period:</v>
      </c>
      <c r="E86" s="10" t="str">
        <f>David!B27</f>
        <v>May-04 to May-15,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E108"/>
  <sheetViews>
    <sheetView topLeftCell="A49" workbookViewId="0">
      <selection activeCell="D72" sqref="D72"/>
    </sheetView>
  </sheetViews>
  <sheetFormatPr defaultColWidth="12.109375" defaultRowHeight="14.4"/>
  <sheetData>
    <row r="1" spans="1:5">
      <c r="A1" s="33" t="s">
        <v>119</v>
      </c>
      <c r="B1" s="33" t="s">
        <v>78</v>
      </c>
      <c r="C1" s="29" t="s">
        <v>200</v>
      </c>
      <c r="D1" s="30" t="s">
        <v>80</v>
      </c>
      <c r="E1" s="30" t="s">
        <v>80</v>
      </c>
    </row>
    <row r="2" spans="1:5">
      <c r="A2" s="33" t="s">
        <v>119</v>
      </c>
      <c r="B2" s="33" t="s">
        <v>78</v>
      </c>
      <c r="C2" s="29" t="s">
        <v>142</v>
      </c>
      <c r="D2" s="30" t="s">
        <v>143</v>
      </c>
      <c r="E2" s="30" t="s">
        <v>80</v>
      </c>
    </row>
    <row r="3" spans="1:5">
      <c r="A3" s="33" t="s">
        <v>119</v>
      </c>
      <c r="B3" s="33" t="s">
        <v>78</v>
      </c>
      <c r="C3" s="29" t="s">
        <v>144</v>
      </c>
      <c r="D3" s="30" t="s">
        <v>80</v>
      </c>
      <c r="E3" s="30" t="s">
        <v>80</v>
      </c>
    </row>
    <row r="4" spans="1:5">
      <c r="A4" s="33" t="s">
        <v>119</v>
      </c>
      <c r="B4" s="33" t="s">
        <v>78</v>
      </c>
      <c r="C4" s="29" t="s">
        <v>145</v>
      </c>
      <c r="D4" s="30" t="s">
        <v>146</v>
      </c>
      <c r="E4" s="30" t="s">
        <v>147</v>
      </c>
    </row>
    <row r="5" spans="1:5">
      <c r="A5" s="33" t="s">
        <v>119</v>
      </c>
      <c r="B5" s="33" t="s">
        <v>78</v>
      </c>
      <c r="C5" s="29" t="s">
        <v>148</v>
      </c>
      <c r="D5" s="30" t="s">
        <v>149</v>
      </c>
      <c r="E5" s="30" t="s">
        <v>138</v>
      </c>
    </row>
    <row r="6" spans="1:5">
      <c r="A6" s="33" t="s">
        <v>119</v>
      </c>
      <c r="B6" s="33" t="s">
        <v>78</v>
      </c>
      <c r="C6" s="29" t="s">
        <v>150</v>
      </c>
      <c r="D6" s="30" t="s">
        <v>149</v>
      </c>
      <c r="E6" s="30" t="s">
        <v>151</v>
      </c>
    </row>
    <row r="7" spans="1:5">
      <c r="A7" s="33" t="s">
        <v>119</v>
      </c>
      <c r="B7" s="33" t="s">
        <v>78</v>
      </c>
      <c r="C7" s="29" t="s">
        <v>152</v>
      </c>
      <c r="D7" s="29" t="s">
        <v>153</v>
      </c>
      <c r="E7" s="30" t="s">
        <v>80</v>
      </c>
    </row>
    <row r="8" spans="1:5">
      <c r="A8" s="33" t="s">
        <v>119</v>
      </c>
      <c r="B8" s="33" t="s">
        <v>78</v>
      </c>
      <c r="C8" s="29" t="s">
        <v>154</v>
      </c>
      <c r="D8" s="30" t="s">
        <v>155</v>
      </c>
      <c r="E8" s="30" t="s">
        <v>156</v>
      </c>
    </row>
    <row r="9" spans="1:5">
      <c r="A9" s="33" t="s">
        <v>119</v>
      </c>
      <c r="B9" s="33" t="s">
        <v>78</v>
      </c>
      <c r="C9" s="29" t="s">
        <v>157</v>
      </c>
      <c r="D9" s="30" t="s">
        <v>158</v>
      </c>
      <c r="E9" s="30" t="s">
        <v>159</v>
      </c>
    </row>
    <row r="10" spans="1:5">
      <c r="A10" s="33" t="s">
        <v>119</v>
      </c>
      <c r="B10" s="33" t="s">
        <v>78</v>
      </c>
      <c r="C10" s="29" t="s">
        <v>160</v>
      </c>
      <c r="D10" s="30" t="s">
        <v>161</v>
      </c>
      <c r="E10" s="30" t="s">
        <v>80</v>
      </c>
    </row>
    <row r="11" spans="1:5">
      <c r="A11" s="33" t="s">
        <v>119</v>
      </c>
      <c r="B11" s="33" t="s">
        <v>78</v>
      </c>
      <c r="C11" s="29" t="s">
        <v>162</v>
      </c>
      <c r="D11" s="30" t="s">
        <v>80</v>
      </c>
      <c r="E11" s="30" t="s">
        <v>80</v>
      </c>
    </row>
    <row r="12" spans="1:5">
      <c r="A12" s="33" t="s">
        <v>119</v>
      </c>
      <c r="B12" s="33" t="s">
        <v>78</v>
      </c>
      <c r="C12" s="29" t="s">
        <v>163</v>
      </c>
      <c r="D12" s="30" t="s">
        <v>80</v>
      </c>
      <c r="E12" s="30" t="s">
        <v>80</v>
      </c>
    </row>
    <row r="13" spans="1:5">
      <c r="A13" s="33" t="s">
        <v>102</v>
      </c>
      <c r="B13" s="33" t="s">
        <v>78</v>
      </c>
      <c r="C13" s="29" t="s">
        <v>200</v>
      </c>
      <c r="D13" s="30" t="s">
        <v>80</v>
      </c>
      <c r="E13" s="30" t="s">
        <v>80</v>
      </c>
    </row>
    <row r="14" spans="1:5">
      <c r="A14" s="33" t="s">
        <v>102</v>
      </c>
      <c r="B14" s="33" t="s">
        <v>78</v>
      </c>
      <c r="C14" s="29" t="s">
        <v>142</v>
      </c>
      <c r="D14" s="30" t="s">
        <v>143</v>
      </c>
      <c r="E14" s="30" t="s">
        <v>80</v>
      </c>
    </row>
    <row r="15" spans="1:5">
      <c r="A15" s="33" t="s">
        <v>102</v>
      </c>
      <c r="B15" s="33" t="s">
        <v>78</v>
      </c>
      <c r="C15" s="29" t="s">
        <v>144</v>
      </c>
      <c r="D15" s="30" t="s">
        <v>80</v>
      </c>
      <c r="E15" s="30" t="s">
        <v>80</v>
      </c>
    </row>
    <row r="16" spans="1:5">
      <c r="A16" s="33" t="s">
        <v>102</v>
      </c>
      <c r="B16" s="33" t="s">
        <v>78</v>
      </c>
      <c r="C16" s="29" t="s">
        <v>145</v>
      </c>
      <c r="D16" s="30" t="s">
        <v>164</v>
      </c>
      <c r="E16" s="30" t="s">
        <v>106</v>
      </c>
    </row>
    <row r="17" spans="1:5">
      <c r="A17" s="33" t="s">
        <v>102</v>
      </c>
      <c r="B17" s="33" t="s">
        <v>78</v>
      </c>
      <c r="C17" s="29" t="s">
        <v>148</v>
      </c>
      <c r="D17" s="30" t="s">
        <v>80</v>
      </c>
      <c r="E17" s="30" t="s">
        <v>80</v>
      </c>
    </row>
    <row r="18" spans="1:5">
      <c r="A18" s="33" t="s">
        <v>102</v>
      </c>
      <c r="B18" s="33" t="s">
        <v>78</v>
      </c>
      <c r="C18" s="29" t="s">
        <v>150</v>
      </c>
      <c r="D18" s="30" t="s">
        <v>114</v>
      </c>
      <c r="E18" s="30" t="s">
        <v>165</v>
      </c>
    </row>
    <row r="19" spans="1:5">
      <c r="A19" s="33" t="s">
        <v>102</v>
      </c>
      <c r="B19" s="33" t="s">
        <v>78</v>
      </c>
      <c r="C19" s="29" t="s">
        <v>152</v>
      </c>
      <c r="D19" s="30" t="s">
        <v>166</v>
      </c>
      <c r="E19" s="30" t="s">
        <v>167</v>
      </c>
    </row>
    <row r="20" spans="1:5">
      <c r="A20" s="33" t="s">
        <v>102</v>
      </c>
      <c r="B20" s="33" t="s">
        <v>78</v>
      </c>
      <c r="C20" s="29" t="s">
        <v>154</v>
      </c>
      <c r="D20" s="30" t="s">
        <v>168</v>
      </c>
      <c r="E20" s="30" t="s">
        <v>169</v>
      </c>
    </row>
    <row r="21" spans="1:5">
      <c r="A21" s="33" t="s">
        <v>102</v>
      </c>
      <c r="B21" s="33" t="s">
        <v>78</v>
      </c>
      <c r="C21" s="29" t="s">
        <v>157</v>
      </c>
      <c r="D21" s="30" t="s">
        <v>170</v>
      </c>
      <c r="E21" s="30" t="s">
        <v>80</v>
      </c>
    </row>
    <row r="22" spans="1:5">
      <c r="A22" s="33" t="s">
        <v>102</v>
      </c>
      <c r="B22" s="33" t="s">
        <v>78</v>
      </c>
      <c r="C22" s="29" t="s">
        <v>160</v>
      </c>
      <c r="D22" s="30" t="s">
        <v>134</v>
      </c>
      <c r="E22" s="30" t="s">
        <v>171</v>
      </c>
    </row>
    <row r="23" spans="1:5">
      <c r="A23" s="33" t="s">
        <v>102</v>
      </c>
      <c r="B23" s="33" t="s">
        <v>78</v>
      </c>
      <c r="C23" s="29" t="s">
        <v>162</v>
      </c>
      <c r="D23" s="30" t="s">
        <v>80</v>
      </c>
      <c r="E23" s="30" t="s">
        <v>80</v>
      </c>
    </row>
    <row r="24" spans="1:5">
      <c r="A24" s="33" t="s">
        <v>102</v>
      </c>
      <c r="B24" s="33" t="s">
        <v>78</v>
      </c>
      <c r="C24" s="29" t="s">
        <v>163</v>
      </c>
      <c r="D24" s="30" t="s">
        <v>80</v>
      </c>
      <c r="E24" s="30" t="s">
        <v>80</v>
      </c>
    </row>
    <row r="25" spans="1:5">
      <c r="A25" s="33" t="s">
        <v>201</v>
      </c>
      <c r="B25" s="33" t="s">
        <v>78</v>
      </c>
      <c r="C25" s="29" t="s">
        <v>200</v>
      </c>
      <c r="D25" s="30" t="s">
        <v>80</v>
      </c>
      <c r="E25" s="30" t="s">
        <v>80</v>
      </c>
    </row>
    <row r="26" spans="1:5">
      <c r="A26" s="33" t="s">
        <v>201</v>
      </c>
      <c r="B26" s="33" t="s">
        <v>78</v>
      </c>
      <c r="C26" s="29" t="s">
        <v>142</v>
      </c>
      <c r="D26" s="30" t="s">
        <v>80</v>
      </c>
      <c r="E26" s="30" t="s">
        <v>80</v>
      </c>
    </row>
    <row r="27" spans="1:5">
      <c r="A27" s="33" t="s">
        <v>201</v>
      </c>
      <c r="B27" s="33" t="s">
        <v>78</v>
      </c>
      <c r="C27" s="29" t="s">
        <v>144</v>
      </c>
      <c r="D27" s="30" t="s">
        <v>80</v>
      </c>
      <c r="E27" s="30" t="s">
        <v>80</v>
      </c>
    </row>
    <row r="28" spans="1:5">
      <c r="A28" s="33" t="s">
        <v>201</v>
      </c>
      <c r="B28" s="33" t="s">
        <v>78</v>
      </c>
      <c r="C28" s="29" t="s">
        <v>145</v>
      </c>
      <c r="D28" s="30" t="s">
        <v>80</v>
      </c>
      <c r="E28" s="30" t="s">
        <v>80</v>
      </c>
    </row>
    <row r="29" spans="1:5">
      <c r="A29" s="33" t="s">
        <v>201</v>
      </c>
      <c r="B29" s="33" t="s">
        <v>78</v>
      </c>
      <c r="C29" s="29" t="s">
        <v>148</v>
      </c>
      <c r="D29" s="30" t="s">
        <v>80</v>
      </c>
      <c r="E29" s="30" t="s">
        <v>80</v>
      </c>
    </row>
    <row r="30" spans="1:5">
      <c r="A30" s="33" t="s">
        <v>201</v>
      </c>
      <c r="B30" s="33" t="s">
        <v>78</v>
      </c>
      <c r="C30" s="29" t="s">
        <v>150</v>
      </c>
      <c r="D30" s="30" t="s">
        <v>80</v>
      </c>
      <c r="E30" s="30" t="s">
        <v>80</v>
      </c>
    </row>
    <row r="31" spans="1:5">
      <c r="A31" s="33" t="s">
        <v>201</v>
      </c>
      <c r="B31" s="33" t="s">
        <v>78</v>
      </c>
      <c r="C31" s="29" t="s">
        <v>152</v>
      </c>
      <c r="D31" s="30" t="s">
        <v>80</v>
      </c>
      <c r="E31" s="30" t="s">
        <v>80</v>
      </c>
    </row>
    <row r="32" spans="1:5">
      <c r="A32" s="33" t="s">
        <v>201</v>
      </c>
      <c r="B32" s="33" t="s">
        <v>78</v>
      </c>
      <c r="C32" s="29" t="s">
        <v>154</v>
      </c>
      <c r="D32" s="30" t="s">
        <v>80</v>
      </c>
      <c r="E32" s="30" t="s">
        <v>80</v>
      </c>
    </row>
    <row r="33" spans="1:5">
      <c r="A33" s="33" t="s">
        <v>201</v>
      </c>
      <c r="B33" s="33" t="s">
        <v>78</v>
      </c>
      <c r="C33" s="29" t="s">
        <v>157</v>
      </c>
      <c r="D33" s="30" t="s">
        <v>80</v>
      </c>
      <c r="E33" s="30" t="s">
        <v>80</v>
      </c>
    </row>
    <row r="34" spans="1:5">
      <c r="A34" s="33" t="s">
        <v>201</v>
      </c>
      <c r="B34" s="33" t="s">
        <v>78</v>
      </c>
      <c r="C34" s="29" t="s">
        <v>160</v>
      </c>
      <c r="D34" s="30" t="s">
        <v>80</v>
      </c>
      <c r="E34" s="30" t="s">
        <v>80</v>
      </c>
    </row>
    <row r="35" spans="1:5">
      <c r="A35" s="33" t="s">
        <v>201</v>
      </c>
      <c r="B35" s="33" t="s">
        <v>78</v>
      </c>
      <c r="C35" s="29" t="s">
        <v>162</v>
      </c>
      <c r="D35" s="30" t="s">
        <v>80</v>
      </c>
      <c r="E35" s="30" t="s">
        <v>80</v>
      </c>
    </row>
    <row r="36" spans="1:5">
      <c r="A36" s="33" t="s">
        <v>201</v>
      </c>
      <c r="B36" s="33" t="s">
        <v>78</v>
      </c>
      <c r="C36" s="29" t="s">
        <v>163</v>
      </c>
      <c r="D36" s="30" t="s">
        <v>80</v>
      </c>
      <c r="E36" s="30" t="s">
        <v>80</v>
      </c>
    </row>
    <row r="37" spans="1:5">
      <c r="A37" s="33" t="s">
        <v>133</v>
      </c>
      <c r="B37" s="33" t="s">
        <v>78</v>
      </c>
      <c r="C37" s="29" t="s">
        <v>200</v>
      </c>
      <c r="D37" s="30" t="s">
        <v>121</v>
      </c>
      <c r="E37" s="30" t="s">
        <v>151</v>
      </c>
    </row>
    <row r="38" spans="1:5">
      <c r="A38" s="33" t="s">
        <v>133</v>
      </c>
      <c r="B38" s="33" t="s">
        <v>78</v>
      </c>
      <c r="C38" s="29" t="s">
        <v>142</v>
      </c>
      <c r="D38" s="30" t="s">
        <v>80</v>
      </c>
      <c r="E38" s="30" t="s">
        <v>80</v>
      </c>
    </row>
    <row r="39" spans="1:5">
      <c r="A39" s="33" t="s">
        <v>133</v>
      </c>
      <c r="B39" s="33" t="s">
        <v>78</v>
      </c>
      <c r="C39" s="29" t="s">
        <v>144</v>
      </c>
      <c r="D39" s="30" t="s">
        <v>80</v>
      </c>
      <c r="E39" s="30" t="s">
        <v>80</v>
      </c>
    </row>
    <row r="40" spans="1:5">
      <c r="A40" s="33" t="s">
        <v>133</v>
      </c>
      <c r="B40" s="33" t="s">
        <v>78</v>
      </c>
      <c r="C40" s="29" t="s">
        <v>145</v>
      </c>
      <c r="D40" s="30" t="s">
        <v>164</v>
      </c>
      <c r="E40" s="30" t="s">
        <v>172</v>
      </c>
    </row>
    <row r="41" spans="1:5">
      <c r="A41" s="33" t="s">
        <v>133</v>
      </c>
      <c r="B41" s="33" t="s">
        <v>78</v>
      </c>
      <c r="C41" s="29" t="s">
        <v>148</v>
      </c>
      <c r="D41" s="30" t="s">
        <v>80</v>
      </c>
      <c r="E41" s="30" t="s">
        <v>80</v>
      </c>
    </row>
    <row r="42" spans="1:5">
      <c r="A42" s="33" t="s">
        <v>133</v>
      </c>
      <c r="B42" s="33" t="s">
        <v>78</v>
      </c>
      <c r="C42" s="29" t="s">
        <v>150</v>
      </c>
      <c r="D42" s="30" t="s">
        <v>80</v>
      </c>
      <c r="E42" s="30" t="s">
        <v>173</v>
      </c>
    </row>
    <row r="43" spans="1:5">
      <c r="A43" s="33" t="s">
        <v>133</v>
      </c>
      <c r="B43" s="33" t="s">
        <v>78</v>
      </c>
      <c r="C43" s="29" t="s">
        <v>152</v>
      </c>
      <c r="D43" s="30" t="s">
        <v>74</v>
      </c>
      <c r="E43" s="30" t="s">
        <v>174</v>
      </c>
    </row>
    <row r="44" spans="1:5">
      <c r="A44" s="33" t="s">
        <v>133</v>
      </c>
      <c r="B44" s="33" t="s">
        <v>78</v>
      </c>
      <c r="C44" s="29" t="s">
        <v>154</v>
      </c>
      <c r="D44" s="30" t="s">
        <v>155</v>
      </c>
      <c r="E44" s="30" t="s">
        <v>175</v>
      </c>
    </row>
    <row r="45" spans="1:5">
      <c r="A45" s="33" t="s">
        <v>133</v>
      </c>
      <c r="B45" s="33" t="s">
        <v>78</v>
      </c>
      <c r="C45" s="29" t="s">
        <v>157</v>
      </c>
      <c r="D45" s="30" t="s">
        <v>176</v>
      </c>
      <c r="E45" s="30" t="s">
        <v>80</v>
      </c>
    </row>
    <row r="46" spans="1:5">
      <c r="A46" s="33" t="s">
        <v>133</v>
      </c>
      <c r="B46" s="33" t="s">
        <v>78</v>
      </c>
      <c r="C46" s="29" t="s">
        <v>160</v>
      </c>
      <c r="D46" s="30" t="s">
        <v>80</v>
      </c>
      <c r="E46" s="30" t="s">
        <v>80</v>
      </c>
    </row>
    <row r="47" spans="1:5">
      <c r="A47" s="33" t="s">
        <v>133</v>
      </c>
      <c r="B47" s="33" t="s">
        <v>78</v>
      </c>
      <c r="C47" s="29" t="s">
        <v>162</v>
      </c>
      <c r="D47" s="30" t="s">
        <v>71</v>
      </c>
      <c r="E47" s="30" t="s">
        <v>137</v>
      </c>
    </row>
    <row r="48" spans="1:5">
      <c r="A48" s="33" t="s">
        <v>133</v>
      </c>
      <c r="B48" s="33" t="s">
        <v>78</v>
      </c>
      <c r="C48" s="29" t="s">
        <v>163</v>
      </c>
      <c r="D48" s="30" t="s">
        <v>177</v>
      </c>
      <c r="E48" s="30" t="s">
        <v>178</v>
      </c>
    </row>
    <row r="49" spans="1:5">
      <c r="A49" s="33" t="s">
        <v>89</v>
      </c>
      <c r="B49" s="33" t="s">
        <v>78</v>
      </c>
      <c r="C49" s="29" t="s">
        <v>200</v>
      </c>
      <c r="D49" s="30" t="s">
        <v>121</v>
      </c>
      <c r="E49" s="30" t="s">
        <v>151</v>
      </c>
    </row>
    <row r="50" spans="1:5">
      <c r="A50" s="33" t="s">
        <v>89</v>
      </c>
      <c r="B50" s="33" t="s">
        <v>78</v>
      </c>
      <c r="C50" s="29" t="s">
        <v>142</v>
      </c>
      <c r="D50" s="30" t="s">
        <v>80</v>
      </c>
      <c r="E50" s="30" t="s">
        <v>80</v>
      </c>
    </row>
    <row r="51" spans="1:5">
      <c r="A51" s="33" t="s">
        <v>89</v>
      </c>
      <c r="B51" s="33" t="s">
        <v>78</v>
      </c>
      <c r="C51" s="29" t="s">
        <v>144</v>
      </c>
      <c r="D51" s="30" t="s">
        <v>80</v>
      </c>
      <c r="E51" s="30" t="s">
        <v>80</v>
      </c>
    </row>
    <row r="52" spans="1:5">
      <c r="A52" s="33" t="s">
        <v>89</v>
      </c>
      <c r="B52" s="33" t="s">
        <v>78</v>
      </c>
      <c r="C52" s="29" t="s">
        <v>145</v>
      </c>
      <c r="D52" s="30" t="s">
        <v>74</v>
      </c>
      <c r="E52" s="30" t="s">
        <v>179</v>
      </c>
    </row>
    <row r="53" spans="1:5">
      <c r="A53" s="33" t="s">
        <v>89</v>
      </c>
      <c r="B53" s="33" t="s">
        <v>78</v>
      </c>
      <c r="C53" s="29" t="s">
        <v>148</v>
      </c>
      <c r="D53" s="30" t="s">
        <v>149</v>
      </c>
      <c r="E53" s="30" t="s">
        <v>180</v>
      </c>
    </row>
    <row r="54" spans="1:5">
      <c r="A54" s="33" t="s">
        <v>89</v>
      </c>
      <c r="B54" s="33" t="s">
        <v>78</v>
      </c>
      <c r="C54" s="29" t="s">
        <v>150</v>
      </c>
      <c r="D54" s="30" t="s">
        <v>181</v>
      </c>
      <c r="E54" s="30" t="s">
        <v>182</v>
      </c>
    </row>
    <row r="55" spans="1:5">
      <c r="A55" s="33" t="s">
        <v>89</v>
      </c>
      <c r="B55" s="33" t="s">
        <v>78</v>
      </c>
      <c r="C55" s="29" t="s">
        <v>152</v>
      </c>
      <c r="D55" s="29" t="s">
        <v>183</v>
      </c>
      <c r="E55" s="30" t="s">
        <v>184</v>
      </c>
    </row>
    <row r="56" spans="1:5">
      <c r="A56" s="33" t="s">
        <v>89</v>
      </c>
      <c r="B56" s="33" t="s">
        <v>78</v>
      </c>
      <c r="C56" s="29" t="s">
        <v>154</v>
      </c>
      <c r="D56" s="30" t="s">
        <v>155</v>
      </c>
      <c r="E56" s="30" t="s">
        <v>115</v>
      </c>
    </row>
    <row r="57" spans="1:5">
      <c r="A57" s="33" t="s">
        <v>89</v>
      </c>
      <c r="B57" s="33" t="s">
        <v>78</v>
      </c>
      <c r="C57" s="29" t="s">
        <v>157</v>
      </c>
      <c r="D57" s="30" t="s">
        <v>149</v>
      </c>
      <c r="E57" s="30" t="s">
        <v>185</v>
      </c>
    </row>
    <row r="58" spans="1:5">
      <c r="A58" s="33" t="s">
        <v>89</v>
      </c>
      <c r="B58" s="33" t="s">
        <v>78</v>
      </c>
      <c r="C58" s="29" t="s">
        <v>160</v>
      </c>
      <c r="D58" s="30" t="s">
        <v>186</v>
      </c>
      <c r="E58" s="30" t="s">
        <v>115</v>
      </c>
    </row>
    <row r="59" spans="1:5">
      <c r="A59" s="33" t="s">
        <v>89</v>
      </c>
      <c r="B59" s="33" t="s">
        <v>78</v>
      </c>
      <c r="C59" s="29" t="s">
        <v>162</v>
      </c>
      <c r="D59" s="30" t="s">
        <v>71</v>
      </c>
      <c r="E59" s="30" t="s">
        <v>156</v>
      </c>
    </row>
    <row r="60" spans="1:5">
      <c r="A60" s="33" t="s">
        <v>89</v>
      </c>
      <c r="B60" s="33" t="s">
        <v>78</v>
      </c>
      <c r="C60" s="29" t="s">
        <v>163</v>
      </c>
      <c r="D60" s="30" t="s">
        <v>77</v>
      </c>
      <c r="E60" s="30" t="s">
        <v>178</v>
      </c>
    </row>
    <row r="61" spans="1:5">
      <c r="A61" s="33" t="s">
        <v>120</v>
      </c>
      <c r="B61" s="33" t="s">
        <v>78</v>
      </c>
      <c r="C61" s="29" t="s">
        <v>200</v>
      </c>
      <c r="D61" s="30" t="s">
        <v>121</v>
      </c>
      <c r="E61" s="30" t="s">
        <v>202</v>
      </c>
    </row>
    <row r="62" spans="1:5">
      <c r="A62" s="33" t="s">
        <v>120</v>
      </c>
      <c r="B62" s="33" t="s">
        <v>78</v>
      </c>
      <c r="C62" s="29" t="s">
        <v>142</v>
      </c>
      <c r="D62" s="30" t="s">
        <v>187</v>
      </c>
      <c r="E62" s="30" t="s">
        <v>80</v>
      </c>
    </row>
    <row r="63" spans="1:5">
      <c r="A63" s="33" t="s">
        <v>120</v>
      </c>
      <c r="B63" s="33" t="s">
        <v>78</v>
      </c>
      <c r="C63" s="29" t="s">
        <v>144</v>
      </c>
      <c r="D63" s="30" t="s">
        <v>80</v>
      </c>
      <c r="E63" s="30" t="s">
        <v>80</v>
      </c>
    </row>
    <row r="64" spans="1:5">
      <c r="A64" s="33" t="s">
        <v>120</v>
      </c>
      <c r="B64" s="33" t="s">
        <v>78</v>
      </c>
      <c r="C64" s="29" t="s">
        <v>145</v>
      </c>
      <c r="D64" s="30" t="s">
        <v>80</v>
      </c>
      <c r="E64" s="30" t="s">
        <v>80</v>
      </c>
    </row>
    <row r="65" spans="1:5">
      <c r="A65" s="33" t="s">
        <v>120</v>
      </c>
      <c r="B65" s="33" t="s">
        <v>78</v>
      </c>
      <c r="C65" s="29" t="s">
        <v>148</v>
      </c>
      <c r="D65" s="30" t="s">
        <v>149</v>
      </c>
      <c r="E65" s="30" t="s">
        <v>135</v>
      </c>
    </row>
    <row r="66" spans="1:5">
      <c r="A66" s="33" t="s">
        <v>120</v>
      </c>
      <c r="B66" s="33" t="s">
        <v>78</v>
      </c>
      <c r="C66" s="29" t="s">
        <v>150</v>
      </c>
      <c r="D66" s="30" t="s">
        <v>128</v>
      </c>
      <c r="E66" s="30" t="s">
        <v>188</v>
      </c>
    </row>
    <row r="67" spans="1:5">
      <c r="A67" s="33" t="s">
        <v>120</v>
      </c>
      <c r="B67" s="33" t="s">
        <v>78</v>
      </c>
      <c r="C67" s="29" t="s">
        <v>152</v>
      </c>
      <c r="D67" s="30" t="s">
        <v>80</v>
      </c>
      <c r="E67" s="30" t="s">
        <v>178</v>
      </c>
    </row>
    <row r="68" spans="1:5">
      <c r="A68" s="33" t="s">
        <v>120</v>
      </c>
      <c r="B68" s="33" t="s">
        <v>78</v>
      </c>
      <c r="C68" s="29" t="s">
        <v>154</v>
      </c>
      <c r="D68" s="30" t="s">
        <v>62</v>
      </c>
      <c r="E68" s="30" t="s">
        <v>189</v>
      </c>
    </row>
    <row r="69" spans="1:5">
      <c r="A69" s="33" t="s">
        <v>120</v>
      </c>
      <c r="B69" s="33" t="s">
        <v>78</v>
      </c>
      <c r="C69" s="29" t="s">
        <v>157</v>
      </c>
      <c r="D69" s="30" t="s">
        <v>170</v>
      </c>
      <c r="E69" s="30" t="s">
        <v>190</v>
      </c>
    </row>
    <row r="70" spans="1:5">
      <c r="A70" s="33" t="s">
        <v>120</v>
      </c>
      <c r="B70" s="33" t="s">
        <v>78</v>
      </c>
      <c r="C70" s="29" t="s">
        <v>160</v>
      </c>
      <c r="D70" s="30" t="s">
        <v>128</v>
      </c>
      <c r="E70" s="30" t="s">
        <v>191</v>
      </c>
    </row>
    <row r="71" spans="1:5">
      <c r="A71" s="33" t="s">
        <v>120</v>
      </c>
      <c r="B71" s="33" t="s">
        <v>78</v>
      </c>
      <c r="C71" s="29" t="s">
        <v>162</v>
      </c>
      <c r="D71" s="30" t="s">
        <v>80</v>
      </c>
      <c r="E71" s="30" t="s">
        <v>80</v>
      </c>
    </row>
    <row r="72" spans="1:5">
      <c r="A72" s="33" t="s">
        <v>120</v>
      </c>
      <c r="B72" s="33" t="s">
        <v>78</v>
      </c>
      <c r="C72" s="29" t="s">
        <v>163</v>
      </c>
      <c r="D72" s="30" t="s">
        <v>177</v>
      </c>
      <c r="E72" s="30" t="s">
        <v>80</v>
      </c>
    </row>
    <row r="73" spans="1:5">
      <c r="A73" s="33" t="s">
        <v>203</v>
      </c>
      <c r="B73" s="33" t="s">
        <v>78</v>
      </c>
      <c r="C73" s="29" t="s">
        <v>200</v>
      </c>
      <c r="D73" s="30" t="s">
        <v>80</v>
      </c>
      <c r="E73" s="30" t="s">
        <v>80</v>
      </c>
    </row>
    <row r="74" spans="1:5">
      <c r="A74" s="33" t="s">
        <v>203</v>
      </c>
      <c r="B74" s="33" t="s">
        <v>78</v>
      </c>
      <c r="C74" s="29" t="s">
        <v>142</v>
      </c>
      <c r="D74" s="30" t="s">
        <v>80</v>
      </c>
      <c r="E74" s="30" t="s">
        <v>80</v>
      </c>
    </row>
    <row r="75" spans="1:5">
      <c r="A75" s="33" t="s">
        <v>203</v>
      </c>
      <c r="B75" s="33" t="s">
        <v>78</v>
      </c>
      <c r="C75" s="29" t="s">
        <v>144</v>
      </c>
      <c r="D75" s="30" t="s">
        <v>80</v>
      </c>
      <c r="E75" s="30" t="s">
        <v>80</v>
      </c>
    </row>
    <row r="76" spans="1:5">
      <c r="A76" s="33" t="s">
        <v>203</v>
      </c>
      <c r="B76" s="33" t="s">
        <v>78</v>
      </c>
      <c r="C76" s="29" t="s">
        <v>145</v>
      </c>
      <c r="D76" s="30" t="s">
        <v>80</v>
      </c>
      <c r="E76" s="30" t="s">
        <v>80</v>
      </c>
    </row>
    <row r="77" spans="1:5">
      <c r="A77" s="33" t="s">
        <v>203</v>
      </c>
      <c r="B77" s="33" t="s">
        <v>78</v>
      </c>
      <c r="C77" s="29" t="s">
        <v>148</v>
      </c>
      <c r="D77" s="30" t="s">
        <v>80</v>
      </c>
      <c r="E77" s="30" t="s">
        <v>80</v>
      </c>
    </row>
    <row r="78" spans="1:5">
      <c r="A78" s="33" t="s">
        <v>203</v>
      </c>
      <c r="B78" s="33" t="s">
        <v>78</v>
      </c>
      <c r="C78" s="29" t="s">
        <v>150</v>
      </c>
      <c r="D78" s="30" t="s">
        <v>80</v>
      </c>
      <c r="E78" s="30" t="s">
        <v>80</v>
      </c>
    </row>
    <row r="79" spans="1:5">
      <c r="A79" s="33" t="s">
        <v>203</v>
      </c>
      <c r="B79" s="33" t="s">
        <v>78</v>
      </c>
      <c r="C79" s="29" t="s">
        <v>152</v>
      </c>
      <c r="D79" s="30" t="s">
        <v>80</v>
      </c>
      <c r="E79" s="30" t="s">
        <v>80</v>
      </c>
    </row>
    <row r="80" spans="1:5">
      <c r="A80" s="33" t="s">
        <v>203</v>
      </c>
      <c r="B80" s="33" t="s">
        <v>78</v>
      </c>
      <c r="C80" s="29" t="s">
        <v>154</v>
      </c>
      <c r="D80" s="30" t="s">
        <v>80</v>
      </c>
      <c r="E80" s="30" t="s">
        <v>80</v>
      </c>
    </row>
    <row r="81" spans="1:5">
      <c r="A81" s="33" t="s">
        <v>203</v>
      </c>
      <c r="B81" s="33" t="s">
        <v>78</v>
      </c>
      <c r="C81" s="29" t="s">
        <v>157</v>
      </c>
      <c r="D81" s="30" t="s">
        <v>80</v>
      </c>
      <c r="E81" s="30" t="s">
        <v>80</v>
      </c>
    </row>
    <row r="82" spans="1:5">
      <c r="A82" s="33" t="s">
        <v>203</v>
      </c>
      <c r="B82" s="33" t="s">
        <v>78</v>
      </c>
      <c r="C82" s="29" t="s">
        <v>160</v>
      </c>
      <c r="D82" s="30" t="s">
        <v>80</v>
      </c>
      <c r="E82" s="30" t="s">
        <v>80</v>
      </c>
    </row>
    <row r="83" spans="1:5">
      <c r="A83" s="33" t="s">
        <v>203</v>
      </c>
      <c r="B83" s="33" t="s">
        <v>78</v>
      </c>
      <c r="C83" s="29" t="s">
        <v>162</v>
      </c>
      <c r="D83" s="30" t="s">
        <v>80</v>
      </c>
      <c r="E83" s="30" t="s">
        <v>80</v>
      </c>
    </row>
    <row r="84" spans="1:5">
      <c r="A84" s="33" t="s">
        <v>203</v>
      </c>
      <c r="B84" s="33" t="s">
        <v>78</v>
      </c>
      <c r="C84" s="29" t="s">
        <v>163</v>
      </c>
      <c r="D84" s="30" t="s">
        <v>80</v>
      </c>
      <c r="E84" s="30" t="s">
        <v>80</v>
      </c>
    </row>
    <row r="85" spans="1:5">
      <c r="A85" s="33" t="s">
        <v>90</v>
      </c>
      <c r="B85" s="33" t="s">
        <v>78</v>
      </c>
      <c r="C85" s="29" t="s">
        <v>200</v>
      </c>
      <c r="D85" s="30" t="s">
        <v>121</v>
      </c>
      <c r="E85" s="30" t="s">
        <v>165</v>
      </c>
    </row>
    <row r="86" spans="1:5">
      <c r="A86" s="33" t="s">
        <v>90</v>
      </c>
      <c r="B86" s="33" t="s">
        <v>78</v>
      </c>
      <c r="C86" s="29" t="s">
        <v>142</v>
      </c>
      <c r="D86" s="30" t="s">
        <v>136</v>
      </c>
      <c r="E86" s="30" t="s">
        <v>80</v>
      </c>
    </row>
    <row r="87" spans="1:5">
      <c r="A87" s="33" t="s">
        <v>90</v>
      </c>
      <c r="B87" s="33" t="s">
        <v>78</v>
      </c>
      <c r="C87" s="29" t="s">
        <v>144</v>
      </c>
      <c r="D87" s="30" t="s">
        <v>80</v>
      </c>
      <c r="E87" s="30" t="s">
        <v>80</v>
      </c>
    </row>
    <row r="88" spans="1:5">
      <c r="A88" s="33" t="s">
        <v>90</v>
      </c>
      <c r="B88" s="33" t="s">
        <v>78</v>
      </c>
      <c r="C88" s="29" t="s">
        <v>145</v>
      </c>
      <c r="D88" s="30" t="s">
        <v>192</v>
      </c>
      <c r="E88" s="30" t="s">
        <v>131</v>
      </c>
    </row>
    <row r="89" spans="1:5">
      <c r="A89" s="33" t="s">
        <v>90</v>
      </c>
      <c r="B89" s="33" t="s">
        <v>78</v>
      </c>
      <c r="C89" s="29" t="s">
        <v>148</v>
      </c>
      <c r="D89" s="30" t="s">
        <v>62</v>
      </c>
      <c r="E89" s="30" t="s">
        <v>135</v>
      </c>
    </row>
    <row r="90" spans="1:5">
      <c r="A90" s="33" t="s">
        <v>90</v>
      </c>
      <c r="B90" s="33" t="s">
        <v>78</v>
      </c>
      <c r="C90" s="29" t="s">
        <v>150</v>
      </c>
      <c r="D90" s="30" t="s">
        <v>80</v>
      </c>
      <c r="E90" s="30" t="s">
        <v>80</v>
      </c>
    </row>
    <row r="91" spans="1:5">
      <c r="A91" s="33" t="s">
        <v>90</v>
      </c>
      <c r="B91" s="33" t="s">
        <v>78</v>
      </c>
      <c r="C91" s="29" t="s">
        <v>152</v>
      </c>
      <c r="D91" s="30" t="s">
        <v>107</v>
      </c>
      <c r="E91" s="30" t="s">
        <v>80</v>
      </c>
    </row>
    <row r="92" spans="1:5">
      <c r="A92" s="33" t="s">
        <v>90</v>
      </c>
      <c r="B92" s="33" t="s">
        <v>78</v>
      </c>
      <c r="C92" s="29" t="s">
        <v>154</v>
      </c>
      <c r="D92" s="30" t="s">
        <v>80</v>
      </c>
      <c r="E92" s="30" t="s">
        <v>80</v>
      </c>
    </row>
    <row r="93" spans="1:5">
      <c r="A93" s="33" t="s">
        <v>90</v>
      </c>
      <c r="B93" s="33" t="s">
        <v>78</v>
      </c>
      <c r="C93" s="29" t="s">
        <v>157</v>
      </c>
      <c r="D93" s="30" t="s">
        <v>193</v>
      </c>
      <c r="E93" s="30" t="s">
        <v>194</v>
      </c>
    </row>
    <row r="94" spans="1:5">
      <c r="A94" s="33" t="s">
        <v>90</v>
      </c>
      <c r="B94" s="33" t="s">
        <v>78</v>
      </c>
      <c r="C94" s="29" t="s">
        <v>160</v>
      </c>
      <c r="D94" s="30" t="s">
        <v>177</v>
      </c>
      <c r="E94" s="30" t="s">
        <v>194</v>
      </c>
    </row>
    <row r="95" spans="1:5">
      <c r="A95" s="33" t="s">
        <v>90</v>
      </c>
      <c r="B95" s="33" t="s">
        <v>78</v>
      </c>
      <c r="C95" s="29" t="s">
        <v>162</v>
      </c>
      <c r="D95" s="30" t="s">
        <v>177</v>
      </c>
      <c r="E95" s="30" t="s">
        <v>195</v>
      </c>
    </row>
    <row r="96" spans="1:5">
      <c r="A96" s="33" t="s">
        <v>90</v>
      </c>
      <c r="B96" s="33" t="s">
        <v>78</v>
      </c>
      <c r="C96" s="29" t="s">
        <v>163</v>
      </c>
      <c r="D96" s="30" t="s">
        <v>80</v>
      </c>
      <c r="E96" s="30" t="s">
        <v>80</v>
      </c>
    </row>
    <row r="97" spans="1:5">
      <c r="A97" s="33" t="s">
        <v>91</v>
      </c>
      <c r="B97" s="33" t="s">
        <v>78</v>
      </c>
      <c r="C97" s="29" t="s">
        <v>200</v>
      </c>
      <c r="D97" s="30" t="s">
        <v>204</v>
      </c>
      <c r="E97" s="30" t="s">
        <v>205</v>
      </c>
    </row>
    <row r="98" spans="1:5">
      <c r="A98" s="33" t="s">
        <v>91</v>
      </c>
      <c r="B98" s="33" t="s">
        <v>78</v>
      </c>
      <c r="C98" s="29" t="s">
        <v>142</v>
      </c>
      <c r="D98" s="30" t="s">
        <v>80</v>
      </c>
      <c r="E98" s="30" t="s">
        <v>80</v>
      </c>
    </row>
    <row r="99" spans="1:5">
      <c r="A99" s="33" t="s">
        <v>91</v>
      </c>
      <c r="B99" s="33" t="s">
        <v>78</v>
      </c>
      <c r="C99" s="29" t="s">
        <v>144</v>
      </c>
      <c r="D99" s="30" t="s">
        <v>80</v>
      </c>
      <c r="E99" s="30" t="s">
        <v>80</v>
      </c>
    </row>
    <row r="100" spans="1:5">
      <c r="A100" s="33" t="s">
        <v>91</v>
      </c>
      <c r="B100" s="33" t="s">
        <v>78</v>
      </c>
      <c r="C100" s="29" t="s">
        <v>145</v>
      </c>
      <c r="D100" s="30" t="s">
        <v>80</v>
      </c>
      <c r="E100" s="30" t="s">
        <v>80</v>
      </c>
    </row>
    <row r="101" spans="1:5">
      <c r="A101" s="33" t="s">
        <v>91</v>
      </c>
      <c r="B101" s="33" t="s">
        <v>78</v>
      </c>
      <c r="C101" s="29" t="s">
        <v>148</v>
      </c>
      <c r="D101" s="30" t="s">
        <v>196</v>
      </c>
      <c r="E101" s="30" t="s">
        <v>197</v>
      </c>
    </row>
    <row r="102" spans="1:5">
      <c r="A102" s="33" t="s">
        <v>91</v>
      </c>
      <c r="B102" s="33" t="s">
        <v>78</v>
      </c>
      <c r="C102" s="29" t="s">
        <v>150</v>
      </c>
      <c r="D102" s="30" t="s">
        <v>80</v>
      </c>
      <c r="E102" s="30" t="s">
        <v>80</v>
      </c>
    </row>
    <row r="103" spans="1:5">
      <c r="A103" s="33" t="s">
        <v>91</v>
      </c>
      <c r="B103" s="33" t="s">
        <v>78</v>
      </c>
      <c r="C103" s="29" t="s">
        <v>152</v>
      </c>
      <c r="D103" s="30" t="s">
        <v>80</v>
      </c>
      <c r="E103" s="30" t="s">
        <v>198</v>
      </c>
    </row>
    <row r="104" spans="1:5">
      <c r="A104" s="33" t="s">
        <v>91</v>
      </c>
      <c r="B104" s="33" t="s">
        <v>78</v>
      </c>
      <c r="C104" s="29" t="s">
        <v>154</v>
      </c>
      <c r="D104" s="30" t="s">
        <v>199</v>
      </c>
      <c r="E104" s="30" t="s">
        <v>175</v>
      </c>
    </row>
    <row r="105" spans="1:5">
      <c r="A105" s="33" t="s">
        <v>91</v>
      </c>
      <c r="B105" s="33" t="s">
        <v>78</v>
      </c>
      <c r="C105" s="29" t="s">
        <v>157</v>
      </c>
      <c r="D105" s="30" t="s">
        <v>80</v>
      </c>
      <c r="E105" s="30" t="s">
        <v>123</v>
      </c>
    </row>
    <row r="106" spans="1:5">
      <c r="A106" s="33" t="s">
        <v>91</v>
      </c>
      <c r="B106" s="33" t="s">
        <v>78</v>
      </c>
      <c r="C106" s="29" t="s">
        <v>160</v>
      </c>
      <c r="D106" s="30" t="s">
        <v>80</v>
      </c>
      <c r="E106" s="30" t="s">
        <v>80</v>
      </c>
    </row>
    <row r="107" spans="1:5">
      <c r="A107" s="33" t="s">
        <v>91</v>
      </c>
      <c r="B107" s="33" t="s">
        <v>78</v>
      </c>
      <c r="C107" s="29" t="s">
        <v>162</v>
      </c>
      <c r="D107" s="30" t="s">
        <v>80</v>
      </c>
      <c r="E107" s="30" t="s">
        <v>80</v>
      </c>
    </row>
    <row r="108" spans="1:5">
      <c r="A108" s="33" t="s">
        <v>91</v>
      </c>
      <c r="B108" s="33" t="s">
        <v>78</v>
      </c>
      <c r="C108" s="29" t="s">
        <v>163</v>
      </c>
      <c r="D108" s="30" t="s">
        <v>80</v>
      </c>
      <c r="E108" s="30" t="s">
        <v>178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7"/>
  <sheetViews>
    <sheetView workbookViewId="0">
      <selection activeCell="H2" sqref="H2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117</v>
      </c>
      <c r="B2" s="2" t="s">
        <v>19</v>
      </c>
      <c r="C2" s="29" t="s">
        <v>127</v>
      </c>
      <c r="D2" s="30" t="s">
        <v>31</v>
      </c>
      <c r="E2" s="30" t="s">
        <v>31</v>
      </c>
      <c r="F2">
        <v>37.5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117</v>
      </c>
      <c r="B3" s="2" t="s">
        <v>19</v>
      </c>
      <c r="C3" s="29" t="s">
        <v>129</v>
      </c>
      <c r="D3" s="30" t="s">
        <v>31</v>
      </c>
      <c r="E3" s="30" t="s">
        <v>31</v>
      </c>
      <c r="F3">
        <v>37.5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117</v>
      </c>
      <c r="B4" s="2" t="s">
        <v>19</v>
      </c>
      <c r="C4" s="29" t="s">
        <v>130</v>
      </c>
      <c r="D4" s="30" t="s">
        <v>31</v>
      </c>
      <c r="E4" s="30" t="s">
        <v>31</v>
      </c>
      <c r="F4">
        <v>37.5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117</v>
      </c>
      <c r="B5" s="2" t="s">
        <v>19</v>
      </c>
      <c r="C5" s="29" t="s">
        <v>200</v>
      </c>
      <c r="D5" s="23" t="s">
        <v>31</v>
      </c>
      <c r="E5" s="23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117</v>
      </c>
      <c r="B6" s="2" t="s">
        <v>19</v>
      </c>
      <c r="C6" s="29" t="s">
        <v>142</v>
      </c>
      <c r="D6" s="23" t="s">
        <v>62</v>
      </c>
      <c r="E6" s="23" t="s">
        <v>141</v>
      </c>
      <c r="F6">
        <v>37.5</v>
      </c>
      <c r="G6">
        <f t="shared" si="0"/>
        <v>3.9999999999999991</v>
      </c>
      <c r="H6">
        <f t="shared" si="4"/>
        <v>3.9999999999999991</v>
      </c>
      <c r="I6" s="7">
        <f t="shared" si="5"/>
        <v>0</v>
      </c>
      <c r="J6">
        <f t="shared" si="1"/>
        <v>149.99999999999997</v>
      </c>
      <c r="K6">
        <f t="shared" si="2"/>
        <v>0</v>
      </c>
      <c r="L6">
        <f t="shared" si="3"/>
        <v>149.99999999999997</v>
      </c>
    </row>
    <row r="7" spans="1:12">
      <c r="A7" t="s">
        <v>117</v>
      </c>
      <c r="B7" s="2" t="s">
        <v>19</v>
      </c>
      <c r="C7" s="29" t="s">
        <v>144</v>
      </c>
      <c r="D7" s="23" t="s">
        <v>31</v>
      </c>
      <c r="E7" s="23" t="s">
        <v>31</v>
      </c>
      <c r="F7">
        <v>37.5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117</v>
      </c>
      <c r="B8" s="2" t="s">
        <v>19</v>
      </c>
      <c r="C8" s="29" t="s">
        <v>145</v>
      </c>
      <c r="D8" s="23" t="s">
        <v>60</v>
      </c>
      <c r="E8" s="23" t="s">
        <v>54</v>
      </c>
      <c r="F8">
        <v>37.5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168.75</v>
      </c>
      <c r="K8">
        <f t="shared" si="2"/>
        <v>0</v>
      </c>
      <c r="L8">
        <f t="shared" si="3"/>
        <v>168.75</v>
      </c>
    </row>
    <row r="9" spans="1:12">
      <c r="A9" t="s">
        <v>117</v>
      </c>
      <c r="B9" s="2" t="s">
        <v>19</v>
      </c>
      <c r="C9" s="29" t="s">
        <v>148</v>
      </c>
      <c r="D9" s="23" t="s">
        <v>62</v>
      </c>
      <c r="E9" s="23" t="s">
        <v>29</v>
      </c>
      <c r="F9">
        <v>37.5</v>
      </c>
      <c r="G9">
        <f t="shared" ref="G9:G15" si="6">(E9-D9)*24</f>
        <v>13</v>
      </c>
      <c r="H9">
        <f>MIN(G9,8)</f>
        <v>8</v>
      </c>
      <c r="I9" s="7">
        <f>IF(MAX(G9-8,0) - 1 &lt; 0, 0, MAX(G9-8,0) - 1)</f>
        <v>4</v>
      </c>
      <c r="J9">
        <f t="shared" ref="J9:J15" si="7">H9*F9</f>
        <v>300</v>
      </c>
      <c r="K9">
        <f t="shared" ref="K9:K15" si="8">I9*F9*1.2</f>
        <v>180</v>
      </c>
      <c r="L9">
        <f t="shared" ref="L9:L15" si="9">J9+K9</f>
        <v>480</v>
      </c>
    </row>
    <row r="10" spans="1:12">
      <c r="A10" t="s">
        <v>117</v>
      </c>
      <c r="B10" s="2" t="s">
        <v>19</v>
      </c>
      <c r="C10" s="29" t="s">
        <v>150</v>
      </c>
      <c r="D10" s="23" t="s">
        <v>62</v>
      </c>
      <c r="E10" s="23" t="s">
        <v>54</v>
      </c>
      <c r="F10">
        <v>37.5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300</v>
      </c>
      <c r="K10">
        <f t="shared" si="8"/>
        <v>157.5</v>
      </c>
      <c r="L10">
        <f t="shared" si="9"/>
        <v>457.5</v>
      </c>
    </row>
    <row r="11" spans="1:12">
      <c r="A11" t="s">
        <v>117</v>
      </c>
      <c r="B11" s="2" t="s">
        <v>19</v>
      </c>
      <c r="C11" s="29" t="s">
        <v>152</v>
      </c>
      <c r="D11" s="23" t="s">
        <v>62</v>
      </c>
      <c r="E11" s="23" t="s">
        <v>54</v>
      </c>
      <c r="F11">
        <v>37.5</v>
      </c>
      <c r="G11">
        <f t="shared" si="6"/>
        <v>12.5</v>
      </c>
      <c r="H11">
        <f t="shared" si="10"/>
        <v>8</v>
      </c>
      <c r="I11" s="7">
        <f t="shared" si="11"/>
        <v>3.5</v>
      </c>
      <c r="J11">
        <f t="shared" si="7"/>
        <v>300</v>
      </c>
      <c r="K11">
        <f t="shared" si="8"/>
        <v>157.5</v>
      </c>
      <c r="L11">
        <f t="shared" si="9"/>
        <v>457.5</v>
      </c>
    </row>
    <row r="12" spans="1:12">
      <c r="A12" t="s">
        <v>117</v>
      </c>
      <c r="B12" s="2" t="s">
        <v>19</v>
      </c>
      <c r="C12" s="29" t="s">
        <v>154</v>
      </c>
      <c r="D12" s="23" t="s">
        <v>62</v>
      </c>
      <c r="E12" s="23" t="s">
        <v>54</v>
      </c>
      <c r="F12">
        <v>37.5</v>
      </c>
      <c r="G12">
        <f t="shared" si="6"/>
        <v>12.5</v>
      </c>
      <c r="H12">
        <f t="shared" si="10"/>
        <v>8</v>
      </c>
      <c r="I12" s="7">
        <f t="shared" si="11"/>
        <v>3.5</v>
      </c>
      <c r="J12">
        <f t="shared" si="7"/>
        <v>300</v>
      </c>
      <c r="K12">
        <f t="shared" si="8"/>
        <v>157.5</v>
      </c>
      <c r="L12">
        <f t="shared" si="9"/>
        <v>457.5</v>
      </c>
    </row>
    <row r="13" spans="1:12">
      <c r="A13" t="s">
        <v>117</v>
      </c>
      <c r="B13" s="2" t="s">
        <v>19</v>
      </c>
      <c r="C13" s="29" t="s">
        <v>157</v>
      </c>
      <c r="D13" s="23" t="s">
        <v>60</v>
      </c>
      <c r="E13" s="23" t="s">
        <v>54</v>
      </c>
      <c r="F13">
        <v>37.5</v>
      </c>
      <c r="G13">
        <f t="shared" si="6"/>
        <v>4.5</v>
      </c>
      <c r="H13">
        <f t="shared" si="10"/>
        <v>4.5</v>
      </c>
      <c r="I13" s="7">
        <f t="shared" si="11"/>
        <v>0</v>
      </c>
      <c r="J13">
        <f t="shared" si="7"/>
        <v>168.75</v>
      </c>
      <c r="K13">
        <f t="shared" si="8"/>
        <v>0</v>
      </c>
      <c r="L13">
        <f t="shared" si="9"/>
        <v>168.75</v>
      </c>
    </row>
    <row r="14" spans="1:12">
      <c r="A14" t="s">
        <v>117</v>
      </c>
      <c r="B14" s="2" t="s">
        <v>19</v>
      </c>
      <c r="C14" s="29" t="s">
        <v>160</v>
      </c>
      <c r="D14" s="23" t="s">
        <v>62</v>
      </c>
      <c r="E14" s="23" t="s">
        <v>206</v>
      </c>
      <c r="F14">
        <v>37.5</v>
      </c>
      <c r="G14">
        <f t="shared" si="6"/>
        <v>6.5000000000000009</v>
      </c>
      <c r="H14">
        <f t="shared" si="10"/>
        <v>6.5000000000000009</v>
      </c>
      <c r="I14" s="7">
        <f t="shared" si="11"/>
        <v>0</v>
      </c>
      <c r="J14">
        <f t="shared" si="7"/>
        <v>243.75000000000003</v>
      </c>
      <c r="K14">
        <f t="shared" si="8"/>
        <v>0</v>
      </c>
      <c r="L14">
        <f t="shared" si="9"/>
        <v>243.75000000000003</v>
      </c>
    </row>
    <row r="15" spans="1:12">
      <c r="A15" t="s">
        <v>117</v>
      </c>
      <c r="B15" s="2" t="s">
        <v>19</v>
      </c>
      <c r="C15" s="29" t="s">
        <v>162</v>
      </c>
      <c r="D15" s="23" t="s">
        <v>31</v>
      </c>
      <c r="E15" s="23" t="s">
        <v>31</v>
      </c>
      <c r="F15">
        <v>37.5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117</v>
      </c>
      <c r="B16" s="2" t="s">
        <v>19</v>
      </c>
      <c r="C16" s="29" t="s">
        <v>163</v>
      </c>
      <c r="D16" s="23" t="s">
        <v>31</v>
      </c>
      <c r="E16" s="23" t="s">
        <v>31</v>
      </c>
      <c r="F16">
        <v>37.5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117</v>
      </c>
      <c r="B22" s="8">
        <f>SUM(J2:J20)</f>
        <v>1931.25</v>
      </c>
      <c r="C22" s="8">
        <f>SUM(K2:K20)</f>
        <v>652.5</v>
      </c>
      <c r="D22" s="8">
        <f>SUM(L2:L20)</f>
        <v>2583.75</v>
      </c>
    </row>
    <row r="30" spans="1:4" ht="21.6" customHeight="1">
      <c r="A30" s="36" t="s">
        <v>39</v>
      </c>
      <c r="B30" s="36"/>
      <c r="C30" s="15"/>
      <c r="D30" s="9"/>
    </row>
    <row r="31" spans="1:4">
      <c r="A31" s="10" t="s">
        <v>40</v>
      </c>
      <c r="B31" s="11" t="str">
        <f>A2</f>
        <v>Micky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46150</v>
      </c>
      <c r="C33" s="16"/>
    </row>
    <row r="34" spans="1:3">
      <c r="A34" s="10" t="s">
        <v>50</v>
      </c>
      <c r="B34" s="10" t="str">
        <f>Kent!B35</f>
        <v>May-04 to May-15, 2026</v>
      </c>
      <c r="C34" s="16"/>
    </row>
    <row r="35" spans="1:3">
      <c r="A35" s="10" t="s">
        <v>63</v>
      </c>
      <c r="B35" s="10">
        <f>COUNTIF(D2:D16, "*:*")</f>
        <v>8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1931.25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652.5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2583.75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2583.75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8"/>
  <sheetViews>
    <sheetView workbookViewId="0">
      <selection activeCell="C40" sqref="C40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101</v>
      </c>
      <c r="B2" s="2" t="s">
        <v>18</v>
      </c>
      <c r="C2" s="4" t="s">
        <v>127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101</v>
      </c>
      <c r="B3" s="2" t="s">
        <v>18</v>
      </c>
      <c r="C3" s="4" t="s">
        <v>129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101</v>
      </c>
      <c r="B4" s="2" t="s">
        <v>18</v>
      </c>
      <c r="C4" s="4" t="s">
        <v>130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101</v>
      </c>
      <c r="B5" s="2" t="s">
        <v>18</v>
      </c>
      <c r="C5" s="4" t="s">
        <v>200</v>
      </c>
      <c r="D5" s="23" t="s">
        <v>31</v>
      </c>
      <c r="E5" s="23" t="s">
        <v>31</v>
      </c>
      <c r="F5">
        <v>43.75</v>
      </c>
      <c r="G5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101</v>
      </c>
      <c r="B6" s="2" t="s">
        <v>18</v>
      </c>
      <c r="C6" s="4" t="s">
        <v>142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 s="7">
        <f t="shared" si="1"/>
        <v>350</v>
      </c>
      <c r="K6" s="7">
        <f t="shared" si="2"/>
        <v>157.5</v>
      </c>
      <c r="L6" s="7">
        <f t="shared" si="3"/>
        <v>507.5</v>
      </c>
    </row>
    <row r="7" spans="1:12">
      <c r="A7" t="s">
        <v>101</v>
      </c>
      <c r="B7" s="2" t="s">
        <v>18</v>
      </c>
      <c r="C7" s="4" t="s">
        <v>144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101</v>
      </c>
      <c r="B8" s="2" t="s">
        <v>18</v>
      </c>
      <c r="C8" s="4" t="s">
        <v>145</v>
      </c>
      <c r="D8" s="23" t="s">
        <v>62</v>
      </c>
      <c r="E8" s="23" t="s">
        <v>57</v>
      </c>
      <c r="F8">
        <v>43.75</v>
      </c>
      <c r="G8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350</v>
      </c>
      <c r="K8" s="7">
        <f t="shared" si="2"/>
        <v>157.5</v>
      </c>
      <c r="L8" s="7">
        <f t="shared" si="3"/>
        <v>507.5</v>
      </c>
    </row>
    <row r="9" spans="1:12">
      <c r="A9" t="s">
        <v>101</v>
      </c>
      <c r="B9" s="2" t="s">
        <v>18</v>
      </c>
      <c r="C9" s="4" t="s">
        <v>148</v>
      </c>
      <c r="D9" s="23" t="s">
        <v>31</v>
      </c>
      <c r="E9" s="23" t="s">
        <v>31</v>
      </c>
      <c r="F9">
        <v>43.75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101</v>
      </c>
      <c r="B10" s="2" t="s">
        <v>18</v>
      </c>
      <c r="C10" s="4" t="s">
        <v>150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 s="7">
        <f t="shared" si="7"/>
        <v>350</v>
      </c>
      <c r="K10" s="7">
        <f t="shared" si="8"/>
        <v>157.5</v>
      </c>
      <c r="L10" s="7">
        <f t="shared" si="9"/>
        <v>507.5</v>
      </c>
    </row>
    <row r="11" spans="1:12">
      <c r="A11" t="s">
        <v>101</v>
      </c>
      <c r="B11" s="2" t="s">
        <v>18</v>
      </c>
      <c r="C11" s="4" t="s">
        <v>152</v>
      </c>
      <c r="D11" s="23" t="s">
        <v>62</v>
      </c>
      <c r="E11" s="23" t="s">
        <v>138</v>
      </c>
      <c r="F11">
        <v>43.75</v>
      </c>
      <c r="G11">
        <f t="shared" si="6"/>
        <v>13.5</v>
      </c>
      <c r="H11">
        <f t="shared" si="10"/>
        <v>8</v>
      </c>
      <c r="I11" s="7">
        <f t="shared" si="11"/>
        <v>4.5</v>
      </c>
      <c r="J11" s="7">
        <f t="shared" si="7"/>
        <v>350</v>
      </c>
      <c r="K11" s="7">
        <f t="shared" si="8"/>
        <v>236.25</v>
      </c>
      <c r="L11" s="7">
        <f t="shared" si="9"/>
        <v>586.25</v>
      </c>
    </row>
    <row r="12" spans="1:12">
      <c r="A12" t="s">
        <v>101</v>
      </c>
      <c r="B12" s="2" t="s">
        <v>18</v>
      </c>
      <c r="C12" s="4" t="s">
        <v>154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 s="7">
        <f t="shared" si="7"/>
        <v>350</v>
      </c>
      <c r="K12" s="7">
        <f t="shared" si="8"/>
        <v>157.5</v>
      </c>
      <c r="L12" s="7">
        <f t="shared" si="9"/>
        <v>507.5</v>
      </c>
    </row>
    <row r="13" spans="1:12">
      <c r="A13" t="s">
        <v>101</v>
      </c>
      <c r="B13" s="2" t="s">
        <v>18</v>
      </c>
      <c r="C13" s="4" t="s">
        <v>157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 s="7">
        <f t="shared" si="7"/>
        <v>350</v>
      </c>
      <c r="K13" s="7">
        <f t="shared" si="8"/>
        <v>157.5</v>
      </c>
      <c r="L13" s="7">
        <f t="shared" si="9"/>
        <v>507.5</v>
      </c>
    </row>
    <row r="14" spans="1:12">
      <c r="A14" t="s">
        <v>101</v>
      </c>
      <c r="B14" s="2" t="s">
        <v>18</v>
      </c>
      <c r="C14" s="4" t="s">
        <v>160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 s="7">
        <f t="shared" si="7"/>
        <v>350</v>
      </c>
      <c r="K14" s="7">
        <f t="shared" si="8"/>
        <v>157.5</v>
      </c>
      <c r="L14" s="7">
        <f t="shared" si="9"/>
        <v>507.5</v>
      </c>
    </row>
    <row r="15" spans="1:12">
      <c r="A15" t="s">
        <v>101</v>
      </c>
      <c r="B15" s="2" t="s">
        <v>18</v>
      </c>
      <c r="C15" s="4" t="s">
        <v>162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       <f t="shared" si="8"/>
        <v>0</v>
      </c>
      <c r="L15" s="7">
        <f t="shared" si="9"/>
        <v>0</v>
      </c>
    </row>
    <row r="16" spans="1:12">
      <c r="A16" t="s">
        <v>101</v>
      </c>
      <c r="B16" s="2" t="s">
        <v>18</v>
      </c>
      <c r="C16" s="4" t="s">
        <v>163</v>
      </c>
      <c r="D16" s="23" t="s">
        <v>31</v>
      </c>
      <c r="E16" s="23" t="s">
        <v>31</v>
      </c>
      <c r="F16">
        <v>43.75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17" spans="1:5">
      <c r="C17" s="31"/>
      <c r="D17" s="32"/>
      <c r="E17" s="32"/>
    </row>
    <row r="22" spans="1:5">
      <c r="A22" s="6" t="s">
        <v>34</v>
      </c>
      <c r="B22" s="6" t="s">
        <v>35</v>
      </c>
      <c r="C22" s="6" t="s">
        <v>36</v>
      </c>
      <c r="D22" s="6" t="s">
        <v>37</v>
      </c>
    </row>
    <row r="23" spans="1:5">
      <c r="A23" t="s">
        <v>101</v>
      </c>
      <c r="B23" s="8">
        <f>SUM(J2:J21)</f>
        <v>2450</v>
      </c>
      <c r="C23" s="8">
        <f>SUM(K2:K21)</f>
        <v>1181.25</v>
      </c>
      <c r="D23" s="8">
        <f>SUM(L2:L21)</f>
        <v>3631.25</v>
      </c>
    </row>
    <row r="31" spans="1:5" ht="21.6" customHeight="1">
      <c r="A31" s="36" t="s">
        <v>39</v>
      </c>
      <c r="B31" s="36"/>
      <c r="C31" s="15"/>
      <c r="D31" s="9"/>
    </row>
    <row r="32" spans="1:5">
      <c r="A32" s="10" t="s">
        <v>40</v>
      </c>
      <c r="B32" s="11" t="s">
        <v>101</v>
      </c>
      <c r="C32" s="16"/>
    </row>
    <row r="33" spans="1:3">
      <c r="A33" s="10" t="s">
        <v>41</v>
      </c>
      <c r="B33" s="11" t="s">
        <v>103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">
        <v>211</v>
      </c>
      <c r="C35" s="16"/>
    </row>
    <row r="36" spans="1:3">
      <c r="A36" s="10" t="s">
        <v>63</v>
      </c>
      <c r="B36" s="10">
        <f>COUNTIF(D2:D16, "*:*")</f>
        <v>7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2450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1181.25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3631.25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3631.25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workbookViewId="0">
      <selection activeCell="J18" sqref="J18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139</v>
      </c>
      <c r="B2" s="2" t="s">
        <v>18</v>
      </c>
      <c r="C2" s="4" t="s">
        <v>127</v>
      </c>
      <c r="D2" s="30" t="s">
        <v>31</v>
      </c>
      <c r="E2" s="30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139</v>
      </c>
      <c r="B3" s="2" t="s">
        <v>18</v>
      </c>
      <c r="C3" s="4" t="s">
        <v>129</v>
      </c>
      <c r="D3" s="30" t="s">
        <v>31</v>
      </c>
      <c r="E3" s="30" t="s">
        <v>31</v>
      </c>
      <c r="F3">
        <v>25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139</v>
      </c>
      <c r="B4" s="2" t="s">
        <v>18</v>
      </c>
      <c r="C4" s="4" t="s">
        <v>130</v>
      </c>
      <c r="D4" s="30" t="s">
        <v>31</v>
      </c>
      <c r="E4" s="30" t="s">
        <v>31</v>
      </c>
      <c r="F4">
        <v>25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139</v>
      </c>
      <c r="B5" s="2" t="s">
        <v>18</v>
      </c>
      <c r="C5" s="4" t="s">
        <v>200</v>
      </c>
      <c r="D5" s="23" t="s">
        <v>62</v>
      </c>
      <c r="E5" s="23" t="s">
        <v>54</v>
      </c>
      <c r="F5">
        <v>25</v>
      </c>
      <c r="G5">
        <f t="shared" si="0"/>
        <v>12.5</v>
      </c>
      <c r="H5">
        <f t="shared" si="4"/>
        <v>8</v>
      </c>
      <c r="I5" s="7">
        <f t="shared" si="5"/>
        <v>3.5</v>
      </c>
      <c r="J5">
        <f t="shared" si="1"/>
        <v>200</v>
      </c>
      <c r="K5">
        <f t="shared" si="2"/>
        <v>105</v>
      </c>
      <c r="L5">
        <f t="shared" si="3"/>
        <v>305</v>
      </c>
    </row>
    <row r="6" spans="1:12">
      <c r="A6" t="s">
        <v>139</v>
      </c>
      <c r="B6" s="2" t="s">
        <v>18</v>
      </c>
      <c r="C6" s="4" t="s">
        <v>142</v>
      </c>
      <c r="D6" s="23" t="s">
        <v>31</v>
      </c>
      <c r="E6" s="23" t="s">
        <v>31</v>
      </c>
      <c r="F6">
        <v>25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139</v>
      </c>
      <c r="B7" s="2" t="s">
        <v>18</v>
      </c>
      <c r="C7" s="4" t="s">
        <v>144</v>
      </c>
      <c r="D7" s="23" t="s">
        <v>31</v>
      </c>
      <c r="E7" s="23" t="s">
        <v>31</v>
      </c>
      <c r="F7">
        <v>25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139</v>
      </c>
      <c r="B8" s="2" t="s">
        <v>18</v>
      </c>
      <c r="C8" s="4" t="s">
        <v>145</v>
      </c>
      <c r="D8" s="23" t="s">
        <v>62</v>
      </c>
      <c r="E8" s="23" t="s">
        <v>60</v>
      </c>
      <c r="F8">
        <v>25</v>
      </c>
      <c r="G8">
        <f t="shared" si="0"/>
        <v>8</v>
      </c>
      <c r="H8">
        <f t="shared" si="4"/>
        <v>8</v>
      </c>
      <c r="I8" s="7">
        <f t="shared" si="5"/>
        <v>0</v>
      </c>
      <c r="J8">
        <f t="shared" si="1"/>
        <v>200</v>
      </c>
      <c r="K8">
        <f t="shared" si="2"/>
        <v>0</v>
      </c>
      <c r="L8">
        <f t="shared" si="3"/>
        <v>200</v>
      </c>
    </row>
    <row r="9" spans="1:12">
      <c r="A9" t="s">
        <v>139</v>
      </c>
      <c r="B9" s="2" t="s">
        <v>18</v>
      </c>
      <c r="C9" s="4" t="s">
        <v>148</v>
      </c>
      <c r="D9" s="23" t="s">
        <v>31</v>
      </c>
      <c r="E9" s="23" t="s">
        <v>31</v>
      </c>
      <c r="F9">
        <v>25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>
        <f t="shared" ref="J9:J15" si="7">H9*F9</f>
        <v>0</v>
      </c>
      <c r="K9">
        <f t="shared" ref="K9:K15" si="8">I9*F9*1.2</f>
        <v>0</v>
      </c>
      <c r="L9">
        <f t="shared" ref="L9:L15" si="9">J9+K9</f>
        <v>0</v>
      </c>
    </row>
    <row r="10" spans="1:12">
      <c r="A10" t="s">
        <v>139</v>
      </c>
      <c r="B10" s="2" t="s">
        <v>18</v>
      </c>
      <c r="C10" s="4" t="s">
        <v>150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139</v>
      </c>
      <c r="B11" s="2" t="s">
        <v>18</v>
      </c>
      <c r="C11" s="4" t="s">
        <v>152</v>
      </c>
      <c r="D11" s="23" t="s">
        <v>62</v>
      </c>
      <c r="E11" s="23" t="s">
        <v>138</v>
      </c>
      <c r="F11">
        <v>25</v>
      </c>
      <c r="G11">
        <f t="shared" si="6"/>
        <v>13.5</v>
      </c>
      <c r="H11">
        <f t="shared" si="10"/>
        <v>8</v>
      </c>
      <c r="I11" s="7">
        <f t="shared" si="11"/>
        <v>4.5</v>
      </c>
      <c r="J11">
        <f t="shared" si="7"/>
        <v>200</v>
      </c>
      <c r="K11">
        <f t="shared" si="8"/>
        <v>135</v>
      </c>
      <c r="L11">
        <f t="shared" si="9"/>
        <v>335</v>
      </c>
    </row>
    <row r="12" spans="1:12">
      <c r="A12" t="s">
        <v>139</v>
      </c>
      <c r="B12" s="2" t="s">
        <v>18</v>
      </c>
      <c r="C12" s="4" t="s">
        <v>154</v>
      </c>
      <c r="D12" s="23" t="s">
        <v>62</v>
      </c>
      <c r="E12" s="23" t="s">
        <v>54</v>
      </c>
      <c r="F12">
        <v>25</v>
      </c>
      <c r="G12">
        <f t="shared" si="6"/>
        <v>12.5</v>
      </c>
      <c r="H12">
        <f t="shared" si="10"/>
        <v>8</v>
      </c>
      <c r="I12" s="7">
        <f t="shared" si="11"/>
        <v>3.5</v>
      </c>
      <c r="J12">
        <f t="shared" si="7"/>
        <v>200</v>
      </c>
      <c r="K12">
        <f t="shared" si="8"/>
        <v>105</v>
      </c>
      <c r="L12">
        <f t="shared" si="9"/>
        <v>305</v>
      </c>
    </row>
    <row r="13" spans="1:12">
      <c r="A13" t="s">
        <v>139</v>
      </c>
      <c r="B13" s="2" t="s">
        <v>18</v>
      </c>
      <c r="C13" s="4" t="s">
        <v>157</v>
      </c>
      <c r="D13" s="23" t="s">
        <v>62</v>
      </c>
      <c r="E13" s="23" t="s">
        <v>54</v>
      </c>
      <c r="F13">
        <v>37.5</v>
      </c>
      <c r="G13">
        <f t="shared" si="6"/>
        <v>12.5</v>
      </c>
      <c r="H13">
        <f t="shared" si="10"/>
        <v>8</v>
      </c>
      <c r="I13" s="7">
        <f t="shared" si="11"/>
        <v>3.5</v>
      </c>
      <c r="J13">
        <f t="shared" si="7"/>
        <v>300</v>
      </c>
      <c r="K13">
        <f t="shared" si="8"/>
        <v>157.5</v>
      </c>
      <c r="L13">
        <f t="shared" si="9"/>
        <v>457.5</v>
      </c>
    </row>
    <row r="14" spans="1:12">
      <c r="A14" t="s">
        <v>139</v>
      </c>
      <c r="B14" s="2" t="s">
        <v>18</v>
      </c>
      <c r="C14" s="4" t="s">
        <v>160</v>
      </c>
      <c r="D14" s="23" t="s">
        <v>31</v>
      </c>
      <c r="E14" s="23" t="s">
        <v>31</v>
      </c>
      <c r="F14">
        <v>25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>
      <c r="A15" t="s">
        <v>139</v>
      </c>
      <c r="B15" s="2" t="s">
        <v>18</v>
      </c>
      <c r="C15" s="4" t="s">
        <v>162</v>
      </c>
      <c r="D15" s="23" t="s">
        <v>62</v>
      </c>
      <c r="E15" s="23" t="s">
        <v>54</v>
      </c>
      <c r="F15">
        <v>37.5</v>
      </c>
      <c r="G15">
        <f t="shared" si="6"/>
        <v>12.5</v>
      </c>
      <c r="H15">
        <f t="shared" si="10"/>
        <v>8</v>
      </c>
      <c r="I15" s="7">
        <f t="shared" si="11"/>
        <v>3.5</v>
      </c>
      <c r="J15">
        <f t="shared" si="7"/>
        <v>300</v>
      </c>
      <c r="K15">
        <f t="shared" si="8"/>
        <v>157.5</v>
      </c>
      <c r="L15">
        <f t="shared" si="9"/>
        <v>457.5</v>
      </c>
    </row>
    <row r="16" spans="1:12">
      <c r="A16" t="s">
        <v>139</v>
      </c>
      <c r="B16" s="2" t="s">
        <v>18</v>
      </c>
      <c r="C16" s="4" t="s">
        <v>163</v>
      </c>
      <c r="D16" s="23" t="s">
        <v>62</v>
      </c>
      <c r="E16" s="23" t="s">
        <v>54</v>
      </c>
      <c r="F16">
        <v>37.5</v>
      </c>
      <c r="G16">
        <f t="shared" ref="G16" si="12">(E16-D16)*24</f>
        <v>12.5</v>
      </c>
      <c r="H16">
        <f t="shared" ref="H16" si="13">MIN(G16,8)</f>
        <v>8</v>
      </c>
      <c r="I16" s="7">
        <f t="shared" ref="I16" si="14">IF(MAX(G16-8,0) - 1 &lt; 0, 0, MAX(G16-8,0) - 1)</f>
        <v>3.5</v>
      </c>
      <c r="J16">
        <f t="shared" ref="J16" si="15">H16*F16</f>
        <v>300</v>
      </c>
      <c r="K16">
        <f t="shared" ref="K16" si="16">I16*F16*1.2</f>
        <v>157.5</v>
      </c>
      <c r="L16">
        <f t="shared" ref="L16" si="17">J16+K16</f>
        <v>457.5</v>
      </c>
    </row>
    <row r="17" spans="1:5">
      <c r="C17" s="31"/>
      <c r="D17" s="32"/>
      <c r="E17" s="32"/>
    </row>
    <row r="22" spans="1:5">
      <c r="A22" s="6" t="s">
        <v>34</v>
      </c>
      <c r="B22" s="6" t="s">
        <v>35</v>
      </c>
      <c r="C22" s="6" t="s">
        <v>36</v>
      </c>
      <c r="D22" s="6" t="s">
        <v>37</v>
      </c>
    </row>
    <row r="23" spans="1:5">
      <c r="A23" t="s">
        <v>139</v>
      </c>
      <c r="B23" s="8">
        <f>SUM(J2:J21)</f>
        <v>1900</v>
      </c>
      <c r="C23" s="8">
        <f>SUM(K2:K21)</f>
        <v>922.5</v>
      </c>
      <c r="D23" s="8">
        <f>SUM(L2:L21)</f>
        <v>2822.5</v>
      </c>
    </row>
    <row r="31" spans="1:5" ht="21.6" customHeight="1">
      <c r="A31" s="36" t="s">
        <v>39</v>
      </c>
      <c r="B31" s="36"/>
      <c r="C31" s="15"/>
      <c r="D31" s="9"/>
    </row>
    <row r="32" spans="1:5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Kent!B35</f>
        <v>May-04 to May-15, 2026</v>
      </c>
      <c r="C35" s="16"/>
    </row>
    <row r="36" spans="1:3">
      <c r="A36" s="10" t="s">
        <v>63</v>
      </c>
      <c r="B36" s="10">
        <f>COUNTIF(D2:D16, "*:*")</f>
        <v>8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1900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922.5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2822.5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2822.5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7"/>
  <sheetViews>
    <sheetView workbookViewId="0">
      <selection activeCell="I11" sqref="I11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4" t="s">
        <v>127</v>
      </c>
      <c r="D2" s="30" t="s">
        <v>31</v>
      </c>
      <c r="E2" s="30" t="s">
        <v>31</v>
      </c>
      <c r="F2">
        <v>46.875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15</v>
      </c>
      <c r="B3" s="2" t="s">
        <v>18</v>
      </c>
      <c r="C3" s="4" t="s">
        <v>129</v>
      </c>
      <c r="D3" s="30" t="s">
        <v>31</v>
      </c>
      <c r="E3" s="30" t="s">
        <v>31</v>
      </c>
      <c r="F3">
        <v>46.875</v>
      </c>
      <c r="G3">
        <f t="shared" si="0"/>
        <v>0</v>
      </c>
      <c r="H3">
        <f t="shared" ref="H3:H17" si="4">MIN(G3,8)</f>
        <v>0</v>
      </c>
      <c r="I3" s="7">
        <f t="shared" ref="I3:I17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15</v>
      </c>
      <c r="B4" s="2" t="s">
        <v>18</v>
      </c>
      <c r="C4" s="4" t="s">
        <v>130</v>
      </c>
      <c r="D4" s="30" t="s">
        <v>31</v>
      </c>
      <c r="E4" s="30" t="s">
        <v>31</v>
      </c>
      <c r="F4">
        <v>46.875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18</v>
      </c>
      <c r="C5" s="4" t="s">
        <v>200</v>
      </c>
      <c r="D5" s="23" t="s">
        <v>62</v>
      </c>
      <c r="E5" s="23" t="s">
        <v>54</v>
      </c>
      <c r="F5">
        <v>46.875</v>
      </c>
      <c r="G5">
        <f t="shared" si="0"/>
        <v>12.5</v>
      </c>
      <c r="H5">
        <f t="shared" si="4"/>
        <v>8</v>
      </c>
      <c r="I5" s="7">
        <f t="shared" si="5"/>
        <v>3.5</v>
      </c>
      <c r="J5">
        <f t="shared" si="1"/>
        <v>375</v>
      </c>
      <c r="K5">
        <f t="shared" si="2"/>
        <v>196.875</v>
      </c>
      <c r="L5">
        <f t="shared" si="3"/>
        <v>571.875</v>
      </c>
    </row>
    <row r="6" spans="1:12">
      <c r="A6" t="s">
        <v>15</v>
      </c>
      <c r="B6" s="2" t="s">
        <v>18</v>
      </c>
      <c r="C6" s="4" t="s">
        <v>142</v>
      </c>
      <c r="D6" s="23" t="s">
        <v>31</v>
      </c>
      <c r="E6" s="23" t="s">
        <v>31</v>
      </c>
      <c r="F6">
        <v>46.875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18</v>
      </c>
      <c r="C7" s="4" t="s">
        <v>144</v>
      </c>
      <c r="D7" s="23" t="s">
        <v>31</v>
      </c>
      <c r="E7" s="23" t="s">
        <v>31</v>
      </c>
      <c r="F7">
        <v>46.875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15</v>
      </c>
      <c r="B8" s="2" t="s">
        <v>18</v>
      </c>
      <c r="C8" s="4" t="s">
        <v>145</v>
      </c>
      <c r="D8" s="23" t="s">
        <v>62</v>
      </c>
      <c r="E8" s="23" t="s">
        <v>54</v>
      </c>
      <c r="F8">
        <v>46.875</v>
      </c>
      <c r="G8">
        <f t="shared" si="0"/>
        <v>12.5</v>
      </c>
      <c r="H8">
        <f t="shared" si="4"/>
        <v>8</v>
      </c>
      <c r="I8" s="7">
        <f t="shared" si="5"/>
        <v>3.5</v>
      </c>
      <c r="J8">
        <f t="shared" si="1"/>
        <v>375</v>
      </c>
      <c r="K8">
        <f t="shared" si="2"/>
        <v>196.875</v>
      </c>
      <c r="L8">
        <f t="shared" si="3"/>
        <v>571.875</v>
      </c>
    </row>
    <row r="9" spans="1:12">
      <c r="A9" t="s">
        <v>15</v>
      </c>
      <c r="B9" s="2" t="s">
        <v>18</v>
      </c>
      <c r="C9" s="4" t="s">
        <v>148</v>
      </c>
      <c r="D9" s="23" t="s">
        <v>62</v>
      </c>
      <c r="E9" s="23" t="s">
        <v>29</v>
      </c>
      <c r="F9">
        <v>46.875</v>
      </c>
      <c r="G9">
        <f t="shared" ref="G9:G15" si="6">(E9-D9)*24</f>
        <v>13</v>
      </c>
      <c r="H9">
        <f t="shared" si="4"/>
        <v>8</v>
      </c>
      <c r="I9" s="7">
        <f t="shared" si="5"/>
        <v>4</v>
      </c>
      <c r="J9">
        <f t="shared" ref="J9:J15" si="7">H9*F9</f>
        <v>375</v>
      </c>
      <c r="K9">
        <f t="shared" ref="K9:K15" si="8">I9*F9*1.2</f>
        <v>225</v>
      </c>
      <c r="L9">
        <f t="shared" ref="L9:L15" si="9">J9+K9</f>
        <v>600</v>
      </c>
    </row>
    <row r="10" spans="1:12">
      <c r="A10" t="s">
        <v>15</v>
      </c>
      <c r="B10" s="2" t="s">
        <v>18</v>
      </c>
      <c r="C10" s="4" t="s">
        <v>150</v>
      </c>
      <c r="D10" s="23" t="s">
        <v>62</v>
      </c>
      <c r="E10" s="23" t="s">
        <v>54</v>
      </c>
      <c r="F10">
        <v>46.875</v>
      </c>
      <c r="G10">
        <f t="shared" si="6"/>
        <v>12.5</v>
      </c>
      <c r="H10">
        <f t="shared" si="4"/>
        <v>8</v>
      </c>
      <c r="I10" s="7">
        <f t="shared" si="5"/>
        <v>3.5</v>
      </c>
      <c r="J10">
        <f t="shared" si="7"/>
        <v>375</v>
      </c>
      <c r="K10">
        <f t="shared" si="8"/>
        <v>196.875</v>
      </c>
      <c r="L10">
        <f t="shared" si="9"/>
        <v>571.875</v>
      </c>
    </row>
    <row r="11" spans="1:12">
      <c r="A11" t="s">
        <v>15</v>
      </c>
      <c r="B11" s="2" t="s">
        <v>18</v>
      </c>
      <c r="C11" s="4" t="s">
        <v>152</v>
      </c>
      <c r="D11" s="23" t="s">
        <v>62</v>
      </c>
      <c r="E11" s="23" t="s">
        <v>138</v>
      </c>
      <c r="F11">
        <v>46.875</v>
      </c>
      <c r="G11">
        <f t="shared" si="6"/>
        <v>13.5</v>
      </c>
      <c r="H11">
        <f t="shared" si="4"/>
        <v>8</v>
      </c>
      <c r="I11" s="7">
        <f t="shared" si="5"/>
        <v>4.5</v>
      </c>
      <c r="J11">
        <f t="shared" si="7"/>
        <v>375</v>
      </c>
      <c r="K11">
        <f t="shared" si="8"/>
        <v>253.125</v>
      </c>
      <c r="L11">
        <f t="shared" si="9"/>
        <v>628.125</v>
      </c>
    </row>
    <row r="12" spans="1:12">
      <c r="A12" t="s">
        <v>15</v>
      </c>
      <c r="B12" s="2" t="s">
        <v>18</v>
      </c>
      <c r="C12" s="4" t="s">
        <v>154</v>
      </c>
      <c r="D12" s="23" t="s">
        <v>62</v>
      </c>
      <c r="E12" s="23" t="s">
        <v>57</v>
      </c>
      <c r="F12">
        <v>46.875</v>
      </c>
      <c r="G12">
        <f t="shared" si="6"/>
        <v>12</v>
      </c>
      <c r="H12">
        <f t="shared" si="4"/>
        <v>8</v>
      </c>
      <c r="I12" s="7">
        <f t="shared" si="5"/>
        <v>3</v>
      </c>
      <c r="J12">
        <f t="shared" si="7"/>
        <v>375</v>
      </c>
      <c r="K12">
        <f t="shared" si="8"/>
        <v>168.75</v>
      </c>
      <c r="L12">
        <f t="shared" si="9"/>
        <v>543.75</v>
      </c>
    </row>
    <row r="13" spans="1:12">
      <c r="A13" t="s">
        <v>15</v>
      </c>
      <c r="B13" s="2" t="s">
        <v>18</v>
      </c>
      <c r="C13" s="4" t="s">
        <v>157</v>
      </c>
      <c r="D13" s="23" t="s">
        <v>62</v>
      </c>
      <c r="E13" s="23" t="s">
        <v>54</v>
      </c>
      <c r="F13">
        <v>46.875</v>
      </c>
      <c r="G13">
        <f t="shared" si="6"/>
        <v>12.5</v>
      </c>
      <c r="H13">
        <f t="shared" si="4"/>
        <v>8</v>
      </c>
      <c r="I13" s="7">
        <f t="shared" si="5"/>
        <v>3.5</v>
      </c>
      <c r="J13">
        <f t="shared" si="7"/>
        <v>375</v>
      </c>
      <c r="K13">
        <f t="shared" si="8"/>
        <v>196.875</v>
      </c>
      <c r="L13">
        <f t="shared" si="9"/>
        <v>571.875</v>
      </c>
    </row>
    <row r="14" spans="1:12">
      <c r="A14" t="s">
        <v>15</v>
      </c>
      <c r="B14" s="2" t="s">
        <v>18</v>
      </c>
      <c r="C14" s="4" t="s">
        <v>160</v>
      </c>
      <c r="D14" s="23" t="s">
        <v>60</v>
      </c>
      <c r="E14" s="23" t="s">
        <v>57</v>
      </c>
      <c r="F14">
        <v>46.875</v>
      </c>
      <c r="G14">
        <f t="shared" si="6"/>
        <v>3.9999999999999991</v>
      </c>
      <c r="H14">
        <f t="shared" si="4"/>
        <v>3.9999999999999991</v>
      </c>
      <c r="I14" s="7">
        <f t="shared" si="5"/>
        <v>0</v>
      </c>
      <c r="J14">
        <f t="shared" si="7"/>
        <v>187.49999999999997</v>
      </c>
      <c r="K14">
        <f t="shared" si="8"/>
        <v>0</v>
      </c>
      <c r="L14">
        <f t="shared" si="9"/>
        <v>187.49999999999997</v>
      </c>
    </row>
    <row r="15" spans="1:12">
      <c r="A15" t="s">
        <v>15</v>
      </c>
      <c r="B15" s="2" t="s">
        <v>18</v>
      </c>
      <c r="C15" s="4" t="s">
        <v>162</v>
      </c>
      <c r="D15" s="23" t="s">
        <v>62</v>
      </c>
      <c r="E15" s="23" t="s">
        <v>54</v>
      </c>
      <c r="F15">
        <v>46.875</v>
      </c>
      <c r="G15">
        <f t="shared" si="6"/>
        <v>12.5</v>
      </c>
      <c r="H15">
        <f t="shared" si="4"/>
        <v>8</v>
      </c>
      <c r="I15" s="7">
        <f t="shared" si="5"/>
        <v>3.5</v>
      </c>
      <c r="J15">
        <f t="shared" si="7"/>
        <v>375</v>
      </c>
      <c r="K15">
        <f t="shared" si="8"/>
        <v>196.875</v>
      </c>
      <c r="L15">
        <f t="shared" si="9"/>
        <v>571.875</v>
      </c>
    </row>
    <row r="16" spans="1:12">
      <c r="A16" t="s">
        <v>15</v>
      </c>
      <c r="B16" s="2" t="s">
        <v>18</v>
      </c>
      <c r="C16" s="4" t="s">
        <v>163</v>
      </c>
      <c r="D16" s="23" t="s">
        <v>62</v>
      </c>
      <c r="E16" s="23" t="s">
        <v>54</v>
      </c>
      <c r="F16">
        <v>46.875</v>
      </c>
      <c r="G16">
        <f t="shared" ref="G16" si="10">(E16-D16)*24</f>
        <v>12.5</v>
      </c>
      <c r="H16">
        <f t="shared" si="4"/>
        <v>8</v>
      </c>
      <c r="I16" s="7">
        <f t="shared" si="5"/>
        <v>3.5</v>
      </c>
      <c r="J16">
        <f t="shared" ref="J16" si="11">H16*F16</f>
        <v>375</v>
      </c>
      <c r="K16">
        <f t="shared" ref="K16" si="12">I16*F16*1.2</f>
        <v>196.875</v>
      </c>
      <c r="L16">
        <f t="shared" ref="L16" si="13">J16+K16</f>
        <v>571.875</v>
      </c>
    </row>
    <row r="17" spans="1:11">
      <c r="C17" s="16"/>
      <c r="D17" s="16"/>
      <c r="E17" s="16"/>
      <c r="G17">
        <f>SUM(G5:G16)</f>
        <v>117.5</v>
      </c>
      <c r="H17">
        <f t="shared" si="4"/>
        <v>8</v>
      </c>
      <c r="I17" s="7">
        <f t="shared" si="5"/>
        <v>108.5</v>
      </c>
    </row>
    <row r="18" spans="1:11">
      <c r="C18" s="16"/>
      <c r="D18" s="16"/>
      <c r="E18" s="16"/>
    </row>
    <row r="21" spans="1:11">
      <c r="A21" s="6" t="s">
        <v>34</v>
      </c>
      <c r="B21" s="6" t="s">
        <v>35</v>
      </c>
      <c r="C21" s="6" t="s">
        <v>36</v>
      </c>
      <c r="D21" s="6" t="s">
        <v>37</v>
      </c>
    </row>
    <row r="22" spans="1:11">
      <c r="A22" t="s">
        <v>15</v>
      </c>
      <c r="B22" s="8">
        <f>SUM(J2:J20)</f>
        <v>3562.5</v>
      </c>
      <c r="C22" s="8">
        <f>SUM(K2:K20)</f>
        <v>1828.125</v>
      </c>
      <c r="D22" s="8">
        <f>SUM(L2:L20)</f>
        <v>5390.625</v>
      </c>
    </row>
    <row r="25" spans="1:11">
      <c r="G25" s="22"/>
      <c r="H25" s="22"/>
      <c r="I25" s="4"/>
      <c r="J25" s="4"/>
      <c r="K25" s="23"/>
    </row>
    <row r="26" spans="1:11">
      <c r="G26" s="22"/>
      <c r="H26" s="22"/>
      <c r="I26" s="4"/>
      <c r="J26" s="4"/>
      <c r="K26" s="23"/>
    </row>
    <row r="27" spans="1:11">
      <c r="G27" s="22"/>
      <c r="H27" s="4"/>
      <c r="I27" s="5"/>
      <c r="J27" s="5"/>
    </row>
    <row r="28" spans="1:11">
      <c r="G28" s="22"/>
      <c r="H28" s="4"/>
      <c r="I28" s="24"/>
      <c r="J28" s="24"/>
    </row>
    <row r="29" spans="1:11">
      <c r="G29" s="22"/>
      <c r="H29" s="4"/>
      <c r="I29" s="5"/>
      <c r="J29" s="5"/>
    </row>
    <row r="30" spans="1:11" ht="21.6" customHeight="1">
      <c r="A30" s="36" t="s">
        <v>39</v>
      </c>
      <c r="B30" s="36"/>
      <c r="C30" s="15"/>
      <c r="D30" s="9"/>
      <c r="G30" s="22"/>
      <c r="H30" s="4"/>
      <c r="I30" s="5"/>
      <c r="J30" s="5"/>
    </row>
    <row r="31" spans="1:11">
      <c r="A31" s="10" t="s">
        <v>40</v>
      </c>
      <c r="B31" s="11" t="str">
        <f>A2</f>
        <v>Cherry</v>
      </c>
      <c r="C31" s="16"/>
      <c r="G31" s="22"/>
      <c r="H31" s="4"/>
      <c r="I31" s="5"/>
      <c r="J31" s="5"/>
    </row>
    <row r="32" spans="1:11">
      <c r="A32" s="10" t="s">
        <v>41</v>
      </c>
      <c r="B32" s="11" t="s">
        <v>55</v>
      </c>
      <c r="C32" s="16"/>
      <c r="G32" s="22"/>
      <c r="H32" s="4"/>
      <c r="I32" s="5"/>
      <c r="J32" s="5"/>
    </row>
    <row r="33" spans="1:10">
      <c r="A33" s="10" t="s">
        <v>42</v>
      </c>
      <c r="B33" s="12">
        <f>C8+1</f>
        <v>46150</v>
      </c>
      <c r="C33" s="16"/>
      <c r="G33" s="22"/>
      <c r="H33" s="4"/>
      <c r="I33" s="24"/>
      <c r="J33" s="24"/>
    </row>
    <row r="34" spans="1:10">
      <c r="A34" s="10" t="s">
        <v>50</v>
      </c>
      <c r="B34" s="10" t="str">
        <f>Kent!B35</f>
        <v>May-04 to May-15, 2026</v>
      </c>
      <c r="C34" s="16"/>
      <c r="G34" s="22"/>
      <c r="H34" s="4"/>
      <c r="I34" s="5"/>
      <c r="J34" s="5"/>
    </row>
    <row r="35" spans="1:10">
      <c r="A35" s="10" t="s">
        <v>63</v>
      </c>
      <c r="B35" s="10">
        <f>COUNTIF(D2:D16, "*:*")</f>
        <v>10</v>
      </c>
      <c r="C35" s="16"/>
    </row>
    <row r="36" spans="1:10">
      <c r="A36" s="13" t="s">
        <v>53</v>
      </c>
      <c r="B36" s="10"/>
      <c r="C36" s="17"/>
    </row>
    <row r="37" spans="1:10">
      <c r="A37" s="10" t="s">
        <v>44</v>
      </c>
      <c r="B37" s="14">
        <f>B22</f>
        <v>3562.5</v>
      </c>
      <c r="C37" s="16"/>
    </row>
    <row r="38" spans="1:10">
      <c r="A38" s="10" t="s">
        <v>43</v>
      </c>
      <c r="B38" s="14">
        <v>0</v>
      </c>
      <c r="C38" s="16"/>
    </row>
    <row r="39" spans="1:10">
      <c r="A39" s="10" t="s">
        <v>6</v>
      </c>
      <c r="B39" s="14">
        <f>C22</f>
        <v>1828.125</v>
      </c>
      <c r="C39" s="16"/>
    </row>
    <row r="40" spans="1:10">
      <c r="A40" s="10" t="s">
        <v>45</v>
      </c>
      <c r="B40" s="14">
        <v>0</v>
      </c>
      <c r="C40" s="16"/>
    </row>
    <row r="41" spans="1:10">
      <c r="A41" s="10"/>
      <c r="B41" s="14"/>
      <c r="C41" s="16"/>
    </row>
    <row r="42" spans="1:10">
      <c r="A42" s="10"/>
      <c r="B42" s="14"/>
      <c r="C42" s="16"/>
    </row>
    <row r="43" spans="1:10">
      <c r="A43" s="10" t="s">
        <v>46</v>
      </c>
      <c r="B43" s="14">
        <f>D22</f>
        <v>5390.625</v>
      </c>
      <c r="C43" s="16"/>
    </row>
    <row r="44" spans="1:10">
      <c r="A44" s="10" t="s">
        <v>47</v>
      </c>
      <c r="B44" s="14">
        <v>0</v>
      </c>
      <c r="C44" s="16"/>
    </row>
    <row r="45" spans="1:10">
      <c r="A45" s="10" t="s">
        <v>52</v>
      </c>
      <c r="B45" s="14">
        <v>0</v>
      </c>
      <c r="C45" s="16"/>
    </row>
    <row r="46" spans="1:10">
      <c r="A46" s="10"/>
      <c r="B46" s="14"/>
      <c r="C46" s="16"/>
    </row>
    <row r="47" spans="1:10">
      <c r="A47" s="13" t="s">
        <v>48</v>
      </c>
      <c r="B47" s="14">
        <f>SUM(B43:B45)</f>
        <v>5390.625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abSelected="1"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116</v>
      </c>
      <c r="B2" s="2" t="s">
        <v>18</v>
      </c>
      <c r="C2" s="4" t="s">
        <v>127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116</v>
      </c>
      <c r="B3" s="2" t="s">
        <v>18</v>
      </c>
      <c r="C3" s="4" t="s">
        <v>129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116</v>
      </c>
      <c r="B4" s="2" t="s">
        <v>18</v>
      </c>
      <c r="C4" s="4" t="s">
        <v>130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116</v>
      </c>
      <c r="B5" s="2" t="s">
        <v>18</v>
      </c>
      <c r="C5" s="4" t="s">
        <v>200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116</v>
      </c>
      <c r="B6" s="2" t="s">
        <v>18</v>
      </c>
      <c r="C6" s="4" t="s">
        <v>142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116</v>
      </c>
      <c r="B7" s="2" t="s">
        <v>18</v>
      </c>
      <c r="C7" s="4" t="s">
        <v>144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116</v>
      </c>
      <c r="B8" s="2" t="s">
        <v>18</v>
      </c>
      <c r="C8" s="4" t="s">
        <v>145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116</v>
      </c>
      <c r="B9" s="2" t="s">
        <v>18</v>
      </c>
      <c r="C9" s="4" t="s">
        <v>148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116</v>
      </c>
      <c r="B10" s="2" t="s">
        <v>18</v>
      </c>
      <c r="C10" s="4" t="s">
        <v>150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116</v>
      </c>
      <c r="B11" s="2" t="s">
        <v>18</v>
      </c>
      <c r="C11" s="4" t="s">
        <v>152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116</v>
      </c>
      <c r="B12" s="2" t="s">
        <v>18</v>
      </c>
      <c r="C12" s="4" t="s">
        <v>154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116</v>
      </c>
      <c r="B13" s="2" t="s">
        <v>18</v>
      </c>
      <c r="C13" s="4" t="s">
        <v>157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116</v>
      </c>
      <c r="B14" s="2" t="s">
        <v>18</v>
      </c>
      <c r="C14" s="4" t="s">
        <v>160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116</v>
      </c>
      <c r="B15" s="2" t="s">
        <v>18</v>
      </c>
      <c r="C15" s="4" t="s">
        <v>162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116</v>
      </c>
      <c r="B16" s="2" t="s">
        <v>18</v>
      </c>
      <c r="C16" s="4" t="s">
        <v>163</v>
      </c>
      <c r="D16" s="23" t="s">
        <v>62</v>
      </c>
      <c r="E16" s="23" t="s">
        <v>212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116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6" t="s">
        <v>39</v>
      </c>
      <c r="B31" s="36"/>
      <c r="C31" s="15"/>
      <c r="D31" s="9"/>
    </row>
    <row r="32" spans="1:4">
      <c r="A32" s="10" t="s">
        <v>40</v>
      </c>
      <c r="B32" s="11" t="s">
        <v>116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Kent!B35</f>
        <v>May-04 to May-15,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9"/>
  <sheetViews>
    <sheetView workbookViewId="0">
      <selection activeCell="H2" sqref="H2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92</v>
      </c>
      <c r="C2" s="4" t="s">
        <v>127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33</v>
      </c>
      <c r="B3" s="2" t="s">
        <v>92</v>
      </c>
      <c r="C3" s="4" t="s">
        <v>129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92</v>
      </c>
      <c r="C4" s="4" t="s">
        <v>130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92</v>
      </c>
      <c r="C5" s="4" t="s">
        <v>200</v>
      </c>
      <c r="D5" s="23" t="s">
        <v>204</v>
      </c>
      <c r="E5" s="23" t="s">
        <v>205</v>
      </c>
      <c r="F5">
        <v>43.75</v>
      </c>
      <c r="G5">
        <f t="shared" si="0"/>
        <v>12.116666666666669</v>
      </c>
      <c r="H5">
        <f t="shared" si="4"/>
        <v>8</v>
      </c>
      <c r="I5" s="7">
        <f t="shared" si="5"/>
        <v>3.1166666666666689</v>
      </c>
      <c r="J5">
        <f t="shared" si="1"/>
        <v>350</v>
      </c>
      <c r="K5">
        <f t="shared" si="2"/>
        <v>163.62500000000011</v>
      </c>
      <c r="L5">
        <f t="shared" si="3"/>
        <v>513.62500000000011</v>
      </c>
    </row>
    <row r="6" spans="1:12">
      <c r="A6" t="s">
        <v>33</v>
      </c>
      <c r="B6" s="2" t="s">
        <v>92</v>
      </c>
      <c r="C6" s="4" t="s">
        <v>142</v>
      </c>
      <c r="D6" s="23" t="s">
        <v>31</v>
      </c>
      <c r="E6" s="23" t="s">
        <v>31</v>
      </c>
      <c r="F6">
        <v>43.75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33</v>
      </c>
      <c r="B7" s="2" t="s">
        <v>92</v>
      </c>
      <c r="C7" s="4" t="s">
        <v>144</v>
      </c>
      <c r="D7" s="23" t="s">
        <v>141</v>
      </c>
      <c r="E7" s="23" t="s">
        <v>57</v>
      </c>
      <c r="F7">
        <v>43.75</v>
      </c>
      <c r="G7">
        <f t="shared" si="0"/>
        <v>8</v>
      </c>
      <c r="H7">
        <f t="shared" si="4"/>
        <v>8</v>
      </c>
      <c r="I7" s="7">
        <f t="shared" si="5"/>
        <v>0</v>
      </c>
      <c r="J7">
        <f t="shared" si="1"/>
        <v>350</v>
      </c>
      <c r="K7">
        <f t="shared" si="2"/>
        <v>0</v>
      </c>
      <c r="L7">
        <f t="shared" si="3"/>
        <v>350</v>
      </c>
    </row>
    <row r="8" spans="1:12">
      <c r="A8" t="s">
        <v>33</v>
      </c>
      <c r="B8" s="2" t="s">
        <v>92</v>
      </c>
      <c r="C8" s="4" t="s">
        <v>145</v>
      </c>
      <c r="D8" s="23" t="s">
        <v>207</v>
      </c>
      <c r="E8" s="23" t="s">
        <v>60</v>
      </c>
      <c r="F8">
        <v>43.75</v>
      </c>
      <c r="G8">
        <f t="shared" si="0"/>
        <v>8</v>
      </c>
      <c r="H8">
        <f t="shared" si="4"/>
        <v>8</v>
      </c>
      <c r="I8" s="7">
        <f t="shared" si="5"/>
        <v>0</v>
      </c>
      <c r="J8">
        <f t="shared" si="1"/>
        <v>350</v>
      </c>
      <c r="K8">
        <f t="shared" si="2"/>
        <v>0</v>
      </c>
      <c r="L8">
        <f t="shared" si="3"/>
        <v>350</v>
      </c>
    </row>
    <row r="9" spans="1:12">
      <c r="A9" t="s">
        <v>33</v>
      </c>
      <c r="B9" s="2" t="s">
        <v>92</v>
      </c>
      <c r="C9" s="4" t="s">
        <v>148</v>
      </c>
      <c r="D9" s="23" t="s">
        <v>104</v>
      </c>
      <c r="E9" s="23" t="s">
        <v>57</v>
      </c>
      <c r="F9">
        <v>43.75</v>
      </c>
      <c r="G9">
        <f t="shared" ref="G9:G15" si="6">(E9-D9)*24</f>
        <v>11</v>
      </c>
      <c r="H9">
        <f>MIN(G9,8)</f>
        <v>8</v>
      </c>
      <c r="I9" s="7">
        <f>IF(MAX(G9-8,0) - 1 &lt; 0, 0, MAX(G9-8,0) - 1)</f>
        <v>2</v>
      </c>
      <c r="J9">
        <f t="shared" ref="J9:J15" si="7">H9*F9</f>
        <v>350</v>
      </c>
      <c r="K9">
        <f t="shared" ref="K9:K15" si="8">I9*F9*1.2</f>
        <v>105</v>
      </c>
      <c r="L9">
        <f t="shared" ref="L9:L15" si="9">J9+K9</f>
        <v>455</v>
      </c>
    </row>
    <row r="10" spans="1:12">
      <c r="A10" t="s">
        <v>33</v>
      </c>
      <c r="B10" s="2" t="s">
        <v>92</v>
      </c>
      <c r="C10" s="4" t="s">
        <v>150</v>
      </c>
      <c r="D10" s="23" t="s">
        <v>207</v>
      </c>
      <c r="E10" s="23" t="s">
        <v>138</v>
      </c>
      <c r="F10">
        <v>43.75</v>
      </c>
      <c r="G10">
        <f t="shared" si="6"/>
        <v>13.5</v>
      </c>
      <c r="H10">
        <f t="shared" ref="H10:H15" si="10">MIN(G10,8)</f>
        <v>8</v>
      </c>
      <c r="I10" s="7">
        <f t="shared" ref="I10:I15" si="11">IF(MAX(G10-8,0) - 1 &lt; 0, 0, MAX(G10-8,0) - 1)</f>
        <v>4.5</v>
      </c>
      <c r="J10">
        <f t="shared" si="7"/>
        <v>350</v>
      </c>
      <c r="K10">
        <f t="shared" si="8"/>
        <v>236.25</v>
      </c>
      <c r="L10">
        <f t="shared" si="9"/>
        <v>586.25</v>
      </c>
    </row>
    <row r="11" spans="1:12">
      <c r="A11" t="s">
        <v>33</v>
      </c>
      <c r="B11" s="2" t="s">
        <v>92</v>
      </c>
      <c r="C11" s="4" t="s">
        <v>152</v>
      </c>
      <c r="D11" s="23" t="s">
        <v>104</v>
      </c>
      <c r="E11" s="23" t="s">
        <v>198</v>
      </c>
      <c r="F11">
        <v>43.75</v>
      </c>
      <c r="G11">
        <f t="shared" si="6"/>
        <v>7.6833333333333336</v>
      </c>
      <c r="H11">
        <f t="shared" si="10"/>
        <v>7.6833333333333336</v>
      </c>
      <c r="I11" s="7">
        <f t="shared" si="11"/>
        <v>0</v>
      </c>
      <c r="J11">
        <f t="shared" si="7"/>
        <v>336.14583333333337</v>
      </c>
      <c r="K11">
        <f t="shared" si="8"/>
        <v>0</v>
      </c>
      <c r="L11">
        <f t="shared" si="9"/>
        <v>336.14583333333337</v>
      </c>
    </row>
    <row r="12" spans="1:12">
      <c r="A12" t="s">
        <v>33</v>
      </c>
      <c r="B12" s="2" t="s">
        <v>92</v>
      </c>
      <c r="C12" s="4" t="s">
        <v>154</v>
      </c>
      <c r="D12" s="23" t="s">
        <v>199</v>
      </c>
      <c r="E12" s="23" t="s">
        <v>175</v>
      </c>
      <c r="F12">
        <v>43.75</v>
      </c>
      <c r="G12">
        <f t="shared" si="6"/>
        <v>11.45</v>
      </c>
      <c r="H12">
        <f t="shared" si="10"/>
        <v>8</v>
      </c>
      <c r="I12" s="7">
        <f t="shared" si="11"/>
        <v>2.4499999999999993</v>
      </c>
      <c r="J12">
        <f t="shared" si="7"/>
        <v>350</v>
      </c>
      <c r="K12">
        <f t="shared" si="8"/>
        <v>128.62499999999997</v>
      </c>
      <c r="L12">
        <f t="shared" si="9"/>
        <v>478.625</v>
      </c>
    </row>
    <row r="13" spans="1:12">
      <c r="A13" t="s">
        <v>33</v>
      </c>
      <c r="B13" s="2" t="s">
        <v>92</v>
      </c>
      <c r="C13" s="4" t="s">
        <v>157</v>
      </c>
      <c r="D13" s="23" t="s">
        <v>104</v>
      </c>
      <c r="E13" s="23" t="s">
        <v>123</v>
      </c>
      <c r="F13">
        <v>43.75</v>
      </c>
      <c r="G13">
        <f t="shared" si="6"/>
        <v>12.266666666666666</v>
      </c>
      <c r="H13">
        <f t="shared" si="10"/>
        <v>8</v>
      </c>
      <c r="I13" s="7">
        <f t="shared" si="11"/>
        <v>3.2666666666666657</v>
      </c>
      <c r="J13">
        <f t="shared" si="7"/>
        <v>350</v>
      </c>
      <c r="K13">
        <f t="shared" si="8"/>
        <v>171.49999999999994</v>
      </c>
      <c r="L13">
        <f t="shared" si="9"/>
        <v>521.5</v>
      </c>
    </row>
    <row r="14" spans="1:12">
      <c r="A14" t="s">
        <v>33</v>
      </c>
      <c r="B14" s="2" t="s">
        <v>92</v>
      </c>
      <c r="C14" s="4" t="s">
        <v>160</v>
      </c>
      <c r="D14" s="23" t="s">
        <v>209</v>
      </c>
      <c r="E14" s="23" t="s">
        <v>57</v>
      </c>
      <c r="F14">
        <v>43.75</v>
      </c>
      <c r="G14">
        <f t="shared" si="6"/>
        <v>11.583333333333334</v>
      </c>
      <c r="H14">
        <f t="shared" si="10"/>
        <v>8</v>
      </c>
      <c r="I14" s="7">
        <f t="shared" si="11"/>
        <v>2.5833333333333339</v>
      </c>
      <c r="J14">
        <f t="shared" si="7"/>
        <v>350</v>
      </c>
      <c r="K14">
        <f t="shared" si="8"/>
        <v>135.62500000000003</v>
      </c>
      <c r="L14">
        <f t="shared" si="9"/>
        <v>485.625</v>
      </c>
    </row>
    <row r="15" spans="1:12">
      <c r="A15" t="s">
        <v>33</v>
      </c>
      <c r="B15" s="2" t="s">
        <v>92</v>
      </c>
      <c r="C15" s="4" t="s">
        <v>162</v>
      </c>
      <c r="D15" s="23" t="s">
        <v>207</v>
      </c>
      <c r="E15" s="23" t="s">
        <v>57</v>
      </c>
      <c r="F15">
        <v>43.75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350</v>
      </c>
      <c r="K15">
        <f t="shared" si="8"/>
        <v>157.5</v>
      </c>
      <c r="L15">
        <f t="shared" si="9"/>
        <v>507.5</v>
      </c>
    </row>
    <row r="16" spans="1:12">
      <c r="A16" t="s">
        <v>33</v>
      </c>
      <c r="B16" s="2" t="s">
        <v>92</v>
      </c>
      <c r="C16" s="4" t="s">
        <v>163</v>
      </c>
      <c r="D16" s="23" t="s">
        <v>104</v>
      </c>
      <c r="E16" s="23" t="s">
        <v>178</v>
      </c>
      <c r="F16">
        <v>43.75</v>
      </c>
      <c r="G16">
        <f t="shared" ref="G16" si="12">(E16-D16)*24</f>
        <v>12.116666666666664</v>
      </c>
      <c r="H16">
        <f t="shared" ref="H16" si="13">MIN(G16,8)</f>
        <v>8</v>
      </c>
      <c r="I16" s="7">
        <f t="shared" ref="I16" si="14">IF(MAX(G16-8,0) - 1 &lt; 0, 0, MAX(G16-8,0) - 1)</f>
        <v>3.1166666666666636</v>
      </c>
      <c r="J16">
        <f t="shared" ref="J16" si="15">H16*F16</f>
        <v>350</v>
      </c>
      <c r="K16">
        <f t="shared" ref="K16" si="16">I16*F16*1.2</f>
        <v>163.62499999999986</v>
      </c>
      <c r="L16">
        <f t="shared" ref="L16" si="17">J16+K16</f>
        <v>513.62499999999989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33</v>
      </c>
      <c r="B23" s="8">
        <f>SUM(J2:J21)</f>
        <v>3836.1458333333335</v>
      </c>
      <c r="C23" s="8">
        <f>SUM(K2:K21)</f>
        <v>1261.7499999999998</v>
      </c>
      <c r="D23" s="8">
        <f>SUM(L2:L21)</f>
        <v>5097.8958333333339</v>
      </c>
    </row>
    <row r="31" spans="1:4" ht="21.6" customHeight="1">
      <c r="A31" s="36" t="s">
        <v>39</v>
      </c>
      <c r="B31" s="36"/>
      <c r="C31" s="15"/>
      <c r="D31" s="9"/>
    </row>
    <row r="32" spans="1:4">
      <c r="A32" s="10" t="s">
        <v>40</v>
      </c>
      <c r="B32" s="11" t="str">
        <f>A2</f>
        <v>Mark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Kent!B35</f>
        <v>May-04 to May-15, 2026</v>
      </c>
      <c r="C35" s="16"/>
    </row>
    <row r="36" spans="1:3">
      <c r="A36" s="10" t="s">
        <v>63</v>
      </c>
      <c r="B36" s="10">
        <f>COUNTIF(D2:D16, "*:*")</f>
        <v>11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3836.1458333333335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1261.7499999999998</v>
      </c>
      <c r="C40" s="16"/>
    </row>
    <row r="41" spans="1:3">
      <c r="A41" s="10" t="s">
        <v>45</v>
      </c>
      <c r="B41" s="14">
        <v>315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SUM(B38:B41)</f>
        <v>5412.895833333333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5412.895833333333</v>
      </c>
      <c r="C48" s="16"/>
    </row>
    <row r="49" spans="2:2">
      <c r="B49" s="28"/>
    </row>
  </sheetData>
  <mergeCells count="1"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4"/>
  <sheetViews>
    <sheetView workbookViewId="0">
      <selection activeCell="H2" sqref="H2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118</v>
      </c>
      <c r="B2" s="2" t="s">
        <v>19</v>
      </c>
      <c r="C2" s="4" t="s">
        <v>127</v>
      </c>
      <c r="D2" s="30" t="s">
        <v>31</v>
      </c>
      <c r="E2" s="30" t="s">
        <v>31</v>
      </c>
      <c r="F2">
        <v>43.75</v>
      </c>
      <c r="G2" s="34">
        <f t="shared" ref="G2:G8" si="0">(E2-D2)*24</f>
        <v>0</v>
      </c>
      <c r="H2" s="34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118</v>
      </c>
      <c r="B3" s="2" t="s">
        <v>19</v>
      </c>
      <c r="C3" s="4" t="s">
        <v>129</v>
      </c>
      <c r="D3" s="30" t="s">
        <v>31</v>
      </c>
      <c r="E3" s="30" t="s">
        <v>31</v>
      </c>
      <c r="F3">
        <v>43.75</v>
      </c>
      <c r="G3" s="34">
        <f t="shared" si="0"/>
        <v>0</v>
      </c>
      <c r="H3" s="34">
        <f>MIN(G3,8)</f>
        <v>0</v>
      </c>
      <c r="I3" s="7">
        <f t="shared" ref="I3:I8" si="4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118</v>
      </c>
      <c r="B4" s="2" t="s">
        <v>19</v>
      </c>
      <c r="C4" s="4" t="s">
        <v>130</v>
      </c>
      <c r="D4" s="30" t="s">
        <v>31</v>
      </c>
      <c r="E4" s="30" t="s">
        <v>31</v>
      </c>
      <c r="F4">
        <v>43.75</v>
      </c>
      <c r="G4" s="34">
        <f t="shared" si="0"/>
        <v>0</v>
      </c>
      <c r="H4" s="34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118</v>
      </c>
      <c r="B5" s="2" t="s">
        <v>19</v>
      </c>
      <c r="C5" s="4" t="s">
        <v>200</v>
      </c>
      <c r="D5" s="4" t="s">
        <v>31</v>
      </c>
      <c r="E5" s="4" t="s">
        <v>31</v>
      </c>
      <c r="F5">
        <v>43.75</v>
      </c>
      <c r="G5" s="34">
        <f t="shared" si="0"/>
        <v>0</v>
      </c>
      <c r="H5" s="34">
        <f>MIN(G5,8)</f>
        <v>0</v>
      </c>
      <c r="I5" s="7">
        <f t="shared" si="4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118</v>
      </c>
      <c r="B6" s="2" t="s">
        <v>19</v>
      </c>
      <c r="C6" s="4" t="s">
        <v>142</v>
      </c>
      <c r="D6" s="4" t="s">
        <v>140</v>
      </c>
      <c r="E6" s="4" t="s">
        <v>60</v>
      </c>
      <c r="F6">
        <v>43.75</v>
      </c>
      <c r="G6" s="34">
        <f t="shared" si="0"/>
        <v>9.0000000000000018</v>
      </c>
      <c r="H6" s="34">
        <f>MIN(G6,8)</f>
        <v>8</v>
      </c>
      <c r="I6" s="7">
        <f t="shared" si="4"/>
        <v>1.7763568394002505E-15</v>
      </c>
      <c r="J6" s="7">
        <f t="shared" si="1"/>
        <v>350</v>
      </c>
      <c r="K6" s="7">
        <f t="shared" si="2"/>
        <v>9.3258734068513149E-14</v>
      </c>
      <c r="L6" s="7">
        <f t="shared" si="3"/>
        <v>350.00000000000011</v>
      </c>
    </row>
    <row r="7" spans="1:12">
      <c r="A7" t="s">
        <v>118</v>
      </c>
      <c r="B7" s="2" t="s">
        <v>19</v>
      </c>
      <c r="C7" s="4" t="s">
        <v>144</v>
      </c>
      <c r="D7" s="4" t="s">
        <v>31</v>
      </c>
      <c r="E7" s="4" t="s">
        <v>31</v>
      </c>
      <c r="F7">
        <v>43.75</v>
      </c>
      <c r="G7" s="7">
        <f t="shared" si="0"/>
        <v>0</v>
      </c>
      <c r="H7" s="34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118</v>
      </c>
      <c r="B8" s="2" t="s">
        <v>19</v>
      </c>
      <c r="C8" s="4" t="s">
        <v>145</v>
      </c>
      <c r="D8" s="4" t="s">
        <v>140</v>
      </c>
      <c r="E8" s="4" t="s">
        <v>29</v>
      </c>
      <c r="F8">
        <v>43.75</v>
      </c>
      <c r="G8" s="7">
        <f t="shared" si="0"/>
        <v>13.999999999999998</v>
      </c>
      <c r="H8" s="34">
        <f>MIN(G8,9)</f>
        <v>9</v>
      </c>
      <c r="I8" s="7">
        <f t="shared" si="4"/>
        <v>4.9999999999999982</v>
      </c>
      <c r="J8" s="7">
        <f t="shared" si="1"/>
        <v>393.75</v>
      </c>
      <c r="K8" s="7">
        <f t="shared" si="2"/>
        <v>262.49999999999989</v>
      </c>
      <c r="L8" s="7">
        <f t="shared" si="3"/>
        <v>656.24999999999989</v>
      </c>
    </row>
    <row r="9" spans="1:12">
      <c r="A9" t="s">
        <v>118</v>
      </c>
      <c r="B9" s="2" t="s">
        <v>19</v>
      </c>
      <c r="C9" s="4" t="s">
        <v>148</v>
      </c>
      <c r="D9" s="4" t="s">
        <v>140</v>
      </c>
      <c r="E9" s="4" t="s">
        <v>208</v>
      </c>
      <c r="F9">
        <v>43.75</v>
      </c>
      <c r="G9" s="34">
        <f t="shared" ref="G9:G15" si="5">(E9-D9)*24</f>
        <v>1.5</v>
      </c>
      <c r="H9" s="34">
        <f>MIN(G9,8)</f>
        <v>1.5</v>
      </c>
      <c r="I9" s="7">
        <f>IF(MAX(G9-8,0) - 1 &lt; 0, 0, MAX(G9-8,0) - 1)</f>
        <v>0</v>
      </c>
      <c r="J9" s="7">
        <f t="shared" ref="J9:J15" si="6">H9*F9</f>
        <v>65.625</v>
      </c>
      <c r="K9" s="7">
        <f t="shared" ref="K9:K15" si="7">I9*F9*1.2</f>
        <v>0</v>
      </c>
      <c r="L9" s="7">
        <f t="shared" ref="L9:L15" si="8">J9+K9</f>
        <v>65.625</v>
      </c>
    </row>
    <row r="10" spans="1:12">
      <c r="A10" t="s">
        <v>118</v>
      </c>
      <c r="B10" s="2" t="s">
        <v>19</v>
      </c>
      <c r="C10" s="4" t="s">
        <v>150</v>
      </c>
      <c r="D10" s="4" t="s">
        <v>140</v>
      </c>
      <c r="E10" s="4" t="s">
        <v>138</v>
      </c>
      <c r="F10">
        <v>43.75</v>
      </c>
      <c r="G10" s="34">
        <f t="shared" si="5"/>
        <v>14.500000000000002</v>
      </c>
      <c r="H10" s="34">
        <f>MIN(G10,8)</f>
        <v>8</v>
      </c>
      <c r="I10" s="7">
        <f t="shared" ref="I10:I15" si="9">IF(MAX(G10-8,0) - 1 &lt; 0, 0, MAX(G10-8,0) - 1)</f>
        <v>5.5000000000000018</v>
      </c>
      <c r="J10" s="7">
        <f t="shared" si="6"/>
        <v>350</v>
      </c>
      <c r="K10" s="7">
        <f t="shared" si="7"/>
        <v>288.75000000000011</v>
      </c>
      <c r="L10" s="7">
        <f t="shared" si="8"/>
        <v>638.75000000000011</v>
      </c>
    </row>
    <row r="11" spans="1:12">
      <c r="A11" t="s">
        <v>118</v>
      </c>
      <c r="B11" s="2" t="s">
        <v>19</v>
      </c>
      <c r="C11" s="4" t="s">
        <v>152</v>
      </c>
      <c r="D11" s="4" t="s">
        <v>31</v>
      </c>
      <c r="E11" s="4" t="s">
        <v>31</v>
      </c>
      <c r="F11">
        <v>43.75</v>
      </c>
      <c r="G11" s="34">
        <f t="shared" si="5"/>
        <v>0</v>
      </c>
      <c r="H11" s="34">
        <f>MIN(G11,8)</f>
        <v>0</v>
      </c>
      <c r="I11" s="7">
        <f t="shared" si="9"/>
        <v>0</v>
      </c>
      <c r="J11" s="7">
        <f t="shared" si="6"/>
        <v>0</v>
      </c>
      <c r="K11" s="7">
        <f t="shared" si="7"/>
        <v>0</v>
      </c>
      <c r="L11" s="7">
        <f t="shared" si="8"/>
        <v>0</v>
      </c>
    </row>
    <row r="12" spans="1:12">
      <c r="A12" t="s">
        <v>118</v>
      </c>
      <c r="B12" s="2" t="s">
        <v>19</v>
      </c>
      <c r="C12" s="4" t="s">
        <v>154</v>
      </c>
      <c r="D12" s="4" t="s">
        <v>140</v>
      </c>
      <c r="E12" s="4" t="s">
        <v>60</v>
      </c>
      <c r="F12">
        <v>43.75</v>
      </c>
      <c r="G12" s="34">
        <f t="shared" si="5"/>
        <v>9.0000000000000018</v>
      </c>
      <c r="H12" s="34">
        <f>MIN(G12,8)</f>
        <v>8</v>
      </c>
      <c r="I12" s="7">
        <f t="shared" si="9"/>
        <v>1.7763568394002505E-15</v>
      </c>
      <c r="J12" s="7">
        <f t="shared" si="6"/>
        <v>350</v>
      </c>
      <c r="K12" s="7">
        <f t="shared" si="7"/>
        <v>9.3258734068513149E-14</v>
      </c>
      <c r="L12" s="7">
        <f t="shared" si="8"/>
        <v>350.00000000000011</v>
      </c>
    </row>
    <row r="13" spans="1:12">
      <c r="A13" t="s">
        <v>118</v>
      </c>
      <c r="B13" s="2" t="s">
        <v>19</v>
      </c>
      <c r="C13" s="4" t="s">
        <v>157</v>
      </c>
      <c r="D13" s="4" t="s">
        <v>140</v>
      </c>
      <c r="E13" s="4" t="s">
        <v>210</v>
      </c>
      <c r="F13">
        <v>43.75</v>
      </c>
      <c r="G13" s="34">
        <f t="shared" si="5"/>
        <v>10.500000000000002</v>
      </c>
      <c r="H13" s="34">
        <f>MIN(G13,8)</f>
        <v>8</v>
      </c>
      <c r="I13" s="7">
        <f t="shared" si="9"/>
        <v>1.5000000000000018</v>
      </c>
      <c r="J13" s="7">
        <f t="shared" si="6"/>
        <v>350</v>
      </c>
      <c r="K13" s="7">
        <f t="shared" si="7"/>
        <v>78.750000000000085</v>
      </c>
      <c r="L13" s="7">
        <f t="shared" si="8"/>
        <v>428.75000000000011</v>
      </c>
    </row>
    <row r="14" spans="1:12">
      <c r="A14" t="s">
        <v>118</v>
      </c>
      <c r="B14" s="2" t="s">
        <v>19</v>
      </c>
      <c r="C14" s="4" t="s">
        <v>160</v>
      </c>
      <c r="D14" s="4" t="s">
        <v>31</v>
      </c>
      <c r="E14" s="4" t="s">
        <v>31</v>
      </c>
      <c r="F14">
        <v>43.75</v>
      </c>
      <c r="G14" s="7">
        <f t="shared" si="5"/>
        <v>0</v>
      </c>
      <c r="H14" s="34">
        <f>MIN(G14,9)</f>
        <v>0</v>
      </c>
      <c r="I14" s="7">
        <f t="shared" si="9"/>
        <v>0</v>
      </c>
      <c r="J14" s="7">
        <f t="shared" si="6"/>
        <v>0</v>
      </c>
      <c r="K14" s="7">
        <f t="shared" si="7"/>
        <v>0</v>
      </c>
      <c r="L14" s="7">
        <f t="shared" si="8"/>
        <v>0</v>
      </c>
    </row>
    <row r="15" spans="1:12">
      <c r="A15" t="s">
        <v>118</v>
      </c>
      <c r="B15" s="2" t="s">
        <v>19</v>
      </c>
      <c r="C15" s="4" t="s">
        <v>162</v>
      </c>
      <c r="D15" s="4" t="s">
        <v>31</v>
      </c>
      <c r="E15" s="4" t="s">
        <v>31</v>
      </c>
      <c r="F15">
        <v>43.75</v>
      </c>
      <c r="G15" s="7">
        <f t="shared" si="5"/>
        <v>0</v>
      </c>
      <c r="H15" s="34">
        <f>MIN(G15,9)</f>
        <v>0</v>
      </c>
      <c r="I15" s="7">
        <f t="shared" si="9"/>
        <v>0</v>
      </c>
      <c r="J15" s="7">
        <f t="shared" si="6"/>
        <v>0</v>
      </c>
      <c r="K15" s="7">
        <f t="shared" si="7"/>
        <v>0</v>
      </c>
      <c r="L15" s="7">
        <f t="shared" si="8"/>
        <v>0</v>
      </c>
    </row>
    <row r="16" spans="1:12">
      <c r="A16" t="s">
        <v>118</v>
      </c>
      <c r="B16" s="2" t="s">
        <v>19</v>
      </c>
      <c r="C16" s="4" t="s">
        <v>163</v>
      </c>
      <c r="D16" s="4" t="s">
        <v>31</v>
      </c>
      <c r="E16" s="4" t="s">
        <v>31</v>
      </c>
      <c r="F16">
        <v>43.75</v>
      </c>
      <c r="G16" s="7">
        <f t="shared" ref="G16" si="10">(E16-D16)*24</f>
        <v>0</v>
      </c>
      <c r="H16" s="34">
        <f>MIN(G16,9)</f>
        <v>0</v>
      </c>
      <c r="I16" s="7">
        <f t="shared" ref="I16" si="11">IF(MAX(G16-8,0) - 1 &lt; 0, 0, MAX(G16-8,0) - 1)</f>
        <v>0</v>
      </c>
      <c r="J16" s="7">
        <f t="shared" ref="J16" si="12">H16*F16</f>
        <v>0</v>
      </c>
      <c r="K16" s="7">
        <f t="shared" ref="K16" si="13">I16*F16*1.2</f>
        <v>0</v>
      </c>
      <c r="L16" s="7">
        <f t="shared" ref="L16" si="14">J16+K16</f>
        <v>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118</v>
      </c>
      <c r="B23" s="8">
        <f>SUM(J2:J21)</f>
        <v>1859.375</v>
      </c>
      <c r="C23" s="8">
        <f>SUM(K2:K21)</f>
        <v>630.00000000000034</v>
      </c>
      <c r="D23" s="8">
        <f>SUM(L2:L21)</f>
        <v>2489.375</v>
      </c>
    </row>
    <row r="27" spans="1:4" ht="21.6" customHeight="1">
      <c r="A27" s="36" t="s">
        <v>39</v>
      </c>
      <c r="B27" s="36"/>
      <c r="C27" s="15"/>
      <c r="D27" s="9"/>
    </row>
    <row r="28" spans="1:4">
      <c r="A28" s="10" t="s">
        <v>40</v>
      </c>
      <c r="B28" s="11" t="str">
        <f>A2</f>
        <v>Kim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C8+1</f>
        <v>46150</v>
      </c>
      <c r="C30" s="16"/>
    </row>
    <row r="31" spans="1:4">
      <c r="A31" s="10" t="s">
        <v>50</v>
      </c>
      <c r="B31" s="10" t="str">
        <f>Kent!B35</f>
        <v>May-04 to May-15, 2026</v>
      </c>
      <c r="C31" s="16"/>
    </row>
    <row r="32" spans="1:4">
      <c r="A32" s="10" t="s">
        <v>63</v>
      </c>
      <c r="B32" s="10">
        <f>COUNTIF(D2:D16, "*:*")</f>
        <v>6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1859.375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630.00000000000034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2489.375</v>
      </c>
      <c r="C40" s="16"/>
    </row>
    <row r="41" spans="1:3">
      <c r="A41" s="10" t="s">
        <v>47</v>
      </c>
      <c r="B41" s="14">
        <v>0</v>
      </c>
      <c r="C41" s="16"/>
    </row>
    <row r="42" spans="1:3">
      <c r="A42" s="10" t="s">
        <v>52</v>
      </c>
      <c r="B42" s="14">
        <v>0</v>
      </c>
      <c r="C42" s="16"/>
    </row>
    <row r="43" spans="1:3">
      <c r="A43" s="10"/>
      <c r="B43" s="14"/>
      <c r="C43" s="16"/>
    </row>
    <row r="44" spans="1:3">
      <c r="A44" s="13" t="s">
        <v>48</v>
      </c>
      <c r="B44" s="14">
        <f>SUM(B40:B42)</f>
        <v>2489.375</v>
      </c>
      <c r="C44" s="16"/>
    </row>
  </sheetData>
  <mergeCells count="1">
    <mergeCell ref="A27:B27"/>
  </mergeCells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73</v>
      </c>
      <c r="B2" s="2" t="s">
        <v>59</v>
      </c>
      <c r="C2" s="4" t="s">
        <v>64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420</v>
      </c>
    </row>
    <row r="3" spans="1:12">
      <c r="A3" t="s">
        <v>73</v>
      </c>
      <c r="B3" s="2" t="s">
        <v>59</v>
      </c>
      <c r="C3" s="4" t="s">
        <v>65</v>
      </c>
      <c r="D3" s="27" t="s">
        <v>71</v>
      </c>
      <c r="E3" s="23" t="s">
        <v>31</v>
      </c>
      <c r="G3" s="7"/>
      <c r="H3" s="7"/>
      <c r="I3" s="7"/>
      <c r="J3" s="7"/>
      <c r="K3" s="7"/>
      <c r="L3" s="26">
        <v>520</v>
      </c>
    </row>
    <row r="4" spans="1:12">
      <c r="A4" t="s">
        <v>73</v>
      </c>
      <c r="B4" s="2" t="s">
        <v>59</v>
      </c>
      <c r="C4" s="4" t="s">
        <v>66</v>
      </c>
      <c r="D4" s="27" t="s">
        <v>74</v>
      </c>
      <c r="E4" s="23" t="s">
        <v>31</v>
      </c>
      <c r="G4" s="7"/>
      <c r="H4" s="7"/>
      <c r="I4" s="7"/>
      <c r="J4" s="7"/>
      <c r="K4" s="7"/>
      <c r="L4" s="26">
        <v>400</v>
      </c>
    </row>
    <row r="5" spans="1:12">
      <c r="A5" t="s">
        <v>73</v>
      </c>
      <c r="B5" s="2" t="s">
        <v>59</v>
      </c>
      <c r="C5" s="4" t="s">
        <v>67</v>
      </c>
      <c r="D5" s="27" t="s">
        <v>75</v>
      </c>
      <c r="E5" s="23" t="s">
        <v>31</v>
      </c>
      <c r="G5" s="7"/>
      <c r="H5" s="7"/>
      <c r="I5" s="7"/>
      <c r="J5" s="7"/>
      <c r="K5" s="7"/>
      <c r="L5" s="26">
        <v>400</v>
      </c>
    </row>
    <row r="6" spans="1:12">
      <c r="A6" t="s">
        <v>73</v>
      </c>
      <c r="B6" s="2" t="s">
        <v>59</v>
      </c>
      <c r="C6" s="4" t="s">
        <v>68</v>
      </c>
      <c r="D6" s="27" t="s">
        <v>76</v>
      </c>
      <c r="E6" s="23" t="s">
        <v>31</v>
      </c>
      <c r="G6" s="7"/>
      <c r="H6" s="7"/>
      <c r="I6" s="7"/>
      <c r="J6" s="7"/>
      <c r="K6" s="7"/>
      <c r="L6" s="26">
        <v>400</v>
      </c>
    </row>
    <row r="7" spans="1:12">
      <c r="A7" t="s">
        <v>73</v>
      </c>
      <c r="B7" s="25" t="s">
        <v>61</v>
      </c>
      <c r="C7" s="4" t="s">
        <v>69</v>
      </c>
      <c r="D7" s="27" t="s">
        <v>77</v>
      </c>
      <c r="E7" s="23" t="s">
        <v>31</v>
      </c>
      <c r="G7" s="7"/>
      <c r="H7" s="7"/>
      <c r="I7" s="7"/>
      <c r="J7" s="7"/>
      <c r="K7" s="7"/>
      <c r="L7" s="26">
        <v>430</v>
      </c>
    </row>
    <row r="8" spans="1:12">
      <c r="A8" t="s">
        <v>73</v>
      </c>
      <c r="B8" s="25" t="s">
        <v>61</v>
      </c>
      <c r="C8" s="4" t="s">
        <v>70</v>
      </c>
      <c r="D8" s="27" t="s">
        <v>31</v>
      </c>
      <c r="E8" s="23" t="s">
        <v>31</v>
      </c>
      <c r="G8" s="7"/>
      <c r="H8" s="7"/>
      <c r="I8" s="7"/>
      <c r="J8" s="7"/>
      <c r="K8" s="7"/>
      <c r="L8" s="7"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6" t="s">
        <v>39</v>
      </c>
      <c r="B23" s="36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46069</v>
      </c>
      <c r="C26" s="16"/>
    </row>
    <row r="27" spans="1:4">
      <c r="A27" s="10" t="s">
        <v>50</v>
      </c>
      <c r="B27" s="10" t="str">
        <f>Kent!B35</f>
        <v>May-04 to May-15, 2026</v>
      </c>
      <c r="C27" s="16"/>
    </row>
    <row r="28" spans="1:4">
      <c r="A28" s="10" t="s">
        <v>63</v>
      </c>
      <c r="B28" s="10">
        <f>COUNTIF(D2:D8, "*:*")</f>
        <v>6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2570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122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108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109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110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111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112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113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122</v>
      </c>
      <c r="D9" s="30" t="s">
        <v>105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108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109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110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111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112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113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113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6" t="s">
        <v>39</v>
      </c>
      <c r="B30" s="36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Kent!B35</f>
        <v>May-04 to May-15,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122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124</v>
      </c>
      <c r="D3" s="30" t="s">
        <v>132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125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126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127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129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130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6" t="s">
        <v>39</v>
      </c>
      <c r="B23" s="36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Kent!B35</f>
        <v>May-04 to May-15,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100</v>
      </c>
      <c r="D2" s="5" t="s">
        <v>30</v>
      </c>
      <c r="E2" s="5" t="s">
        <v>93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94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95</v>
      </c>
      <c r="D4" s="5" t="s">
        <v>30</v>
      </c>
      <c r="E4" s="5" t="s">
        <v>72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96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97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98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99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6" t="s">
        <v>39</v>
      </c>
      <c r="B23" s="36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Kent!B35</f>
        <v>May-04 to May-15,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79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81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82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83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84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85</v>
      </c>
      <c r="D7" s="23" t="s">
        <v>86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87</v>
      </c>
      <c r="D8" s="23" t="s">
        <v>88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6" t="s">
        <v>39</v>
      </c>
      <c r="B23" s="36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Kent!B35</f>
        <v>May-04 to May-15,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6" t="s">
        <v>39</v>
      </c>
      <c r="B23" s="36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Payslip</vt:lpstr>
      <vt:lpstr>Summary</vt:lpstr>
      <vt:lpstr>Micky</vt:lpstr>
      <vt:lpstr>Kent</vt:lpstr>
      <vt:lpstr>Sheen</vt:lpstr>
      <vt:lpstr>Cherry</vt:lpstr>
      <vt:lpstr>Pepito</vt:lpstr>
      <vt:lpstr>Mark</vt:lpstr>
      <vt:lpstr>Kim</vt:lpstr>
      <vt:lpstr>David</vt:lpstr>
      <vt:lpstr>Kris</vt:lpstr>
      <vt:lpstr>Jay Anne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2026-05-19T11:37:57Z</cp:lastPrinted>
  <dcterms:created xsi:type="dcterms:W3CDTF">2025-12-15T10:27:30Z</dcterms:created>
  <dcterms:modified xsi:type="dcterms:W3CDTF">2026-05-23T01:35:16Z</dcterms:modified>
</cp:coreProperties>
</file>