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3854AF88-3056-454C-B3EB-81FDAB12E5E5}" xr6:coauthVersionLast="47" xr6:coauthVersionMax="47" xr10:uidLastSave="{00000000-0000-0000-0000-000000000000}"/>
  <bookViews>
    <workbookView xWindow="-23148" yWindow="-108" windowWidth="23256" windowHeight="13896" firstSheet="1" activeTab="1" xr2:uid="{00BF821E-BFB9-4523-9564-A672F7161683}"/>
  </bookViews>
  <sheets>
    <sheet name="Payslip" sheetId="15" r:id="rId1"/>
    <sheet name="Summary" sheetId="17" r:id="rId2"/>
    <sheet name="Rhea Mae" sheetId="4" r:id="rId3"/>
    <sheet name="Jay Anne" sheetId="3" r:id="rId4"/>
    <sheet name="Kris" sheetId="2" r:id="rId5"/>
    <sheet name="Christian" sheetId="6" r:id="rId6"/>
    <sheet name="Cherry" sheetId="5" r:id="rId7"/>
    <sheet name="Aldrin" sheetId="7" r:id="rId8"/>
    <sheet name="Mark" sheetId="11" r:id="rId9"/>
    <sheet name="Lenard" sheetId="16" r:id="rId10"/>
    <sheet name="Chadiyah" sheetId="1" r:id="rId11"/>
    <sheet name="Template" sheetId="13" r:id="rId12"/>
    <sheet name="Rhoda" sheetId="9" state="hidden" r:id="rId13"/>
    <sheet name="Kenneth" sheetId="8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7" l="1"/>
  <c r="B6" i="17"/>
  <c r="B5" i="17"/>
  <c r="B7" i="17"/>
  <c r="B10" i="17"/>
  <c r="B9" i="17"/>
  <c r="B8" i="17"/>
  <c r="B4" i="17"/>
  <c r="B3" i="17"/>
  <c r="B2" i="17"/>
  <c r="A10" i="17"/>
  <c r="A9" i="17"/>
  <c r="A8" i="17"/>
  <c r="A7" i="17"/>
  <c r="A6" i="17"/>
  <c r="A5" i="17"/>
  <c r="A4" i="17"/>
  <c r="A3" i="17"/>
  <c r="A2" i="17"/>
  <c r="I3" i="1"/>
  <c r="K3" i="1" s="1"/>
  <c r="I4" i="1"/>
  <c r="K4" i="1" s="1"/>
  <c r="K5" i="1"/>
  <c r="I6" i="1"/>
  <c r="I7" i="1"/>
  <c r="I2" i="1"/>
  <c r="K2" i="1" s="1"/>
  <c r="K6" i="1"/>
  <c r="K7" i="1"/>
  <c r="K8" i="1"/>
  <c r="B26" i="11"/>
  <c r="B65" i="15" s="1"/>
  <c r="B26" i="1"/>
  <c r="E65" i="15" s="1"/>
  <c r="B26" i="16"/>
  <c r="B85" i="15" s="1"/>
  <c r="B26" i="7"/>
  <c r="B26" i="5"/>
  <c r="B26" i="6"/>
  <c r="B26" i="2"/>
  <c r="B24" i="15" s="1"/>
  <c r="B26" i="3"/>
  <c r="B26" i="4"/>
  <c r="E66" i="15"/>
  <c r="I3" i="7"/>
  <c r="I4" i="7"/>
  <c r="I6" i="7"/>
  <c r="I7" i="7"/>
  <c r="I2" i="7"/>
  <c r="I3" i="5"/>
  <c r="I5" i="5"/>
  <c r="I6" i="5"/>
  <c r="I4" i="3"/>
  <c r="I5" i="3"/>
  <c r="I6" i="3"/>
  <c r="B84" i="15"/>
  <c r="B86" i="15"/>
  <c r="B90" i="15"/>
  <c r="B92" i="15"/>
  <c r="B96" i="15"/>
  <c r="B97" i="15"/>
  <c r="B83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E99" i="15"/>
  <c r="D99" i="15"/>
  <c r="E97" i="15"/>
  <c r="D97" i="15"/>
  <c r="E96" i="15"/>
  <c r="D96" i="15"/>
  <c r="E95" i="15"/>
  <c r="D95" i="15"/>
  <c r="E92" i="15"/>
  <c r="D92" i="15"/>
  <c r="E91" i="15"/>
  <c r="D91" i="15"/>
  <c r="E90" i="15"/>
  <c r="D90" i="15"/>
  <c r="E89" i="15"/>
  <c r="D89" i="15"/>
  <c r="D88" i="15"/>
  <c r="E86" i="15"/>
  <c r="D86" i="15"/>
  <c r="E85" i="15"/>
  <c r="D85" i="15"/>
  <c r="E84" i="15"/>
  <c r="D84" i="15"/>
  <c r="E83" i="15"/>
  <c r="D83" i="15"/>
  <c r="H8" i="1"/>
  <c r="H5" i="16"/>
  <c r="B24" i="16"/>
  <c r="G8" i="16"/>
  <c r="G7" i="16"/>
  <c r="G6" i="16"/>
  <c r="G5" i="16"/>
  <c r="G4" i="16"/>
  <c r="G3" i="16"/>
  <c r="K3" i="16" s="1"/>
  <c r="G2" i="16"/>
  <c r="H2" i="16" s="1"/>
  <c r="K8" i="11"/>
  <c r="K3" i="2"/>
  <c r="H29" i="7"/>
  <c r="G6" i="6"/>
  <c r="I6" i="6" s="1"/>
  <c r="E4" i="15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E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B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E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E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B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H3" i="16" l="1"/>
  <c r="J3" i="16" s="1"/>
  <c r="L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2" i="16"/>
  <c r="K4" i="16"/>
  <c r="K5" i="16"/>
  <c r="J2" i="16"/>
  <c r="J5" i="16"/>
  <c r="K8" i="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G3" i="2"/>
  <c r="G4" i="2"/>
  <c r="I4" i="2" s="1"/>
  <c r="G5" i="2"/>
  <c r="I5" i="2" s="1"/>
  <c r="G6" i="2"/>
  <c r="I6" i="2" s="1"/>
  <c r="K6" i="2" s="1"/>
  <c r="G7" i="2"/>
  <c r="I7" i="2" s="1"/>
  <c r="K7" i="2" s="1"/>
  <c r="G8" i="2"/>
  <c r="K8" i="2" s="1"/>
  <c r="G8" i="11"/>
  <c r="G7" i="11"/>
  <c r="K7" i="11" s="1"/>
  <c r="G6" i="11"/>
  <c r="I6" i="11" s="1"/>
  <c r="K6" i="11" s="1"/>
  <c r="G5" i="11"/>
  <c r="I5" i="11" s="1"/>
  <c r="K5" i="11" s="1"/>
  <c r="G4" i="11"/>
  <c r="I4" i="11" s="1"/>
  <c r="K4" i="11" s="1"/>
  <c r="G3" i="11"/>
  <c r="I3" i="11" s="1"/>
  <c r="K3" i="11" s="1"/>
  <c r="G2" i="11"/>
  <c r="G8" i="1"/>
  <c r="J8" i="1" s="1"/>
  <c r="L8" i="1" s="1"/>
  <c r="G7" i="1"/>
  <c r="G6" i="1"/>
  <c r="G5" i="1"/>
  <c r="G4" i="1"/>
  <c r="G3" i="1"/>
  <c r="G2" i="1"/>
  <c r="G8" i="7"/>
  <c r="K8" i="7" s="1"/>
  <c r="G7" i="7"/>
  <c r="K7" i="7" s="1"/>
  <c r="G6" i="7"/>
  <c r="G5" i="7"/>
  <c r="G4" i="7"/>
  <c r="G3" i="7"/>
  <c r="G2" i="7"/>
  <c r="H2" i="7" s="1"/>
  <c r="G8" i="6"/>
  <c r="G7" i="6"/>
  <c r="I7" i="6" s="1"/>
  <c r="K6" i="6"/>
  <c r="G5" i="6"/>
  <c r="I5" i="6" s="1"/>
  <c r="G4" i="6"/>
  <c r="I4" i="6" s="1"/>
  <c r="G3" i="6"/>
  <c r="I3" i="6" s="1"/>
  <c r="G2" i="6"/>
  <c r="G8" i="5"/>
  <c r="G7" i="5"/>
  <c r="G6" i="5"/>
  <c r="G5" i="5"/>
  <c r="G4" i="5"/>
  <c r="G3" i="5"/>
  <c r="G2" i="5"/>
  <c r="G8" i="3"/>
  <c r="K8" i="3" s="1"/>
  <c r="G7" i="3"/>
  <c r="K7" i="3" s="1"/>
  <c r="K6" i="3"/>
  <c r="G6" i="3"/>
  <c r="G5" i="3"/>
  <c r="G4" i="3"/>
  <c r="G3" i="3"/>
  <c r="K3" i="3" s="1"/>
  <c r="G2" i="3"/>
  <c r="G3" i="4"/>
  <c r="I3" i="4" s="1"/>
  <c r="G4" i="4"/>
  <c r="G5" i="4"/>
  <c r="I5" i="4" s="1"/>
  <c r="G6" i="4"/>
  <c r="I6" i="4" s="1"/>
  <c r="G7" i="4"/>
  <c r="I7" i="4" s="1"/>
  <c r="G8" i="4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L5" i="16" l="1"/>
  <c r="L4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C15" i="1"/>
  <c r="B32" i="1" s="1"/>
  <c r="E71" i="15" s="1"/>
  <c r="L8" i="16"/>
  <c r="L7" i="16"/>
  <c r="C15" i="16"/>
  <c r="B32" i="16" s="1"/>
  <c r="B91" i="15" s="1"/>
  <c r="L2" i="16"/>
  <c r="B15" i="16"/>
  <c r="B30" i="16" s="1"/>
  <c r="B89" i="15" s="1"/>
  <c r="L6" i="16"/>
  <c r="H8" i="11"/>
  <c r="J8" i="11" s="1"/>
  <c r="L8" i="11" s="1"/>
  <c r="H2" i="11"/>
  <c r="J2" i="11" s="1"/>
  <c r="K2" i="11"/>
  <c r="H3" i="11"/>
  <c r="J3" i="11" s="1"/>
  <c r="L3" i="11" s="1"/>
  <c r="H4" i="11"/>
  <c r="J4" i="11" s="1"/>
  <c r="H5" i="11"/>
  <c r="J5" i="11" s="1"/>
  <c r="L5" i="11" s="1"/>
  <c r="H6" i="11"/>
  <c r="J6" i="11" s="1"/>
  <c r="L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K2" i="7"/>
  <c r="J2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I2" i="5"/>
  <c r="K2" i="5" s="1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L8" i="3" s="1"/>
  <c r="H5" i="3"/>
  <c r="J5" i="3" s="1"/>
  <c r="K5" i="3"/>
  <c r="H7" i="3"/>
  <c r="J7" i="3" s="1"/>
  <c r="L7" i="3" s="1"/>
  <c r="H2" i="3"/>
  <c r="J2" i="3" s="1"/>
  <c r="H6" i="3"/>
  <c r="J6" i="3" s="1"/>
  <c r="L6" i="3" s="1"/>
  <c r="H3" i="3"/>
  <c r="J3" i="3" s="1"/>
  <c r="L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L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I2" i="6"/>
  <c r="K2" i="6" s="1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J5" i="1"/>
  <c r="L5" i="1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6" i="5" l="1"/>
  <c r="L8" i="5"/>
  <c r="L5" i="6"/>
  <c r="J3" i="2"/>
  <c r="L3" i="2" s="1"/>
  <c r="L2" i="1"/>
  <c r="D15" i="1" s="1"/>
  <c r="B36" i="1" s="1"/>
  <c r="B15" i="1"/>
  <c r="B30" i="1" s="1"/>
  <c r="E69" i="15" s="1"/>
  <c r="D15" i="16"/>
  <c r="B36" i="16" s="1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40" i="16" l="1"/>
  <c r="B99" i="15" s="1"/>
  <c r="B95" i="15"/>
  <c r="B15" i="2"/>
  <c r="B30" i="2" s="1"/>
  <c r="B28" i="15" s="1"/>
  <c r="B40" i="1"/>
  <c r="E79" i="15" s="1"/>
  <c r="E75" i="15"/>
  <c r="D15" i="11"/>
  <c r="B36" i="11" s="1"/>
  <c r="B40" i="11" s="1"/>
  <c r="B79" i="15" s="1"/>
  <c r="B15" i="7"/>
  <c r="B30" i="7" s="1"/>
  <c r="E49" i="15" s="1"/>
  <c r="D15" i="7"/>
  <c r="B36" i="7" s="1"/>
  <c r="B40" i="7" s="1"/>
  <c r="E59" i="15" s="1"/>
  <c r="D15" i="5"/>
  <c r="B36" i="5" s="1"/>
  <c r="B40" i="5" s="1"/>
  <c r="B59" i="15" s="1"/>
  <c r="D15" i="3"/>
  <c r="B36" i="3" s="1"/>
  <c r="E14" i="15" s="1"/>
  <c r="D15" i="6"/>
  <c r="B36" i="6" s="1"/>
  <c r="B40" i="6" s="1"/>
  <c r="E38" i="15" s="1"/>
  <c r="D15" i="4"/>
  <c r="B36" i="4" s="1"/>
  <c r="D15" i="2"/>
  <c r="B36" i="2" s="1"/>
  <c r="B75" i="15" l="1"/>
  <c r="E55" i="15"/>
  <c r="B55" i="15"/>
  <c r="E34" i="15"/>
  <c r="B40" i="2"/>
  <c r="B38" i="15" s="1"/>
  <c r="B34" i="15"/>
  <c r="B40" i="3"/>
  <c r="E18" i="15" s="1"/>
  <c r="B40" i="4"/>
  <c r="B18" i="15" s="1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charset val="1"/>
          </rPr>
          <t>Chad Nico Lazarra:</t>
        </r>
        <r>
          <rPr>
            <sz val="9"/>
            <color indexed="81"/>
            <rFont val="Tahoma"/>
            <charset val="1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<sst xmlns="http://schemas.openxmlformats.org/spreadsheetml/2006/main" count="740" uniqueCount="86">
  <si>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</si>
  <si>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</si>
  <si>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</si>
  <si>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</si>
  <si>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</si>
  <si>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</si>
  <si>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</si>
  <si>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</si>
  <si>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</si>
  <si>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</si>
  <si>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</si>
  <si>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</si>
  <si>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</si>
  <si>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</si>
  <si>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</si>
  <si>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</si>
  <si>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</si>
  <si>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</si>
  <si>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</si>
  <si>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</si>
  <si>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</si>
  <si>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</si>
  <si>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</si>
  <si>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</si>
  <si>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</si>
  <si>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</si>
  <si>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</si>
  <si>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</si>
  <si>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</si>
  <si>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</si>
  <si>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</si>
  <si>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10:00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</si>
  <si>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</si>
  <si>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</si>
  <si>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</si>
  <si>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</si>
  <si>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</si>
  <si>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</si>
  <si>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</si>
  <si>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</si>
  <si>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</si>
  <si>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</si>
  <si>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</si>
  <si>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</si>
  <si>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</si>
  <si>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</si>
  <si>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</si>
  <si>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</si>
  <si>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</si>
  <si>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</si>
  <si>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</si>
  <si>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</si>
  <si>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</si>
  <si>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</si>
  <si>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</si>
  <si>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</si>
  <si>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</si>
  <si>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</si>
  <si>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20:00</t>
  </si>
  <si>
    <t>Staff</t>
  </si>
  <si>
    <t>Cashier</t>
  </si>
  <si>
    <t>08:36</t>
  </si>
  <si>
    <t>21:00</t>
  </si>
  <si>
    <t>20:30</t>
  </si>
  <si>
    <t>11:00</t>
  </si>
  <si>
    <t>Lenard</t>
  </si>
  <si>
    <t>5:00PM-10:00PM</t>
  </si>
  <si>
    <t>17:00</t>
  </si>
  <si>
    <t>9:30AM-10:00PM</t>
  </si>
  <si>
    <t>18:30</t>
  </si>
  <si>
    <t>2026-01-26</t>
  </si>
  <si>
    <t>15:55</t>
  </si>
  <si>
    <t>2026-01-27</t>
  </si>
  <si>
    <t>08:32</t>
  </si>
  <si>
    <t>2026-01-28</t>
  </si>
  <si>
    <t>2026-01-29</t>
  </si>
  <si>
    <t>2026-01-30</t>
  </si>
  <si>
    <t>2026-01-31</t>
  </si>
  <si>
    <t>2026-02-01</t>
  </si>
  <si>
    <t>10:54</t>
  </si>
  <si>
    <t>12:00</t>
  </si>
  <si>
    <t>19:30</t>
  </si>
  <si>
    <t>Jan-26 to Feb-01, 2026</t>
  </si>
  <si>
    <t>09:00</t>
  </si>
  <si>
    <t>20:22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</si>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</sst>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charset val="134"/>
    </font>
    <font>
      <sz val="8"/>
      <color indexed="10"/>
      <name val="Arial"/>
      <charset val="134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topLeftCell="A22" zoomScale="130" zoomScaleNormal="100" zoomScaleSheetLayoutView="130" workbookViewId="0">
      <selection activeCell="G35" sqref="G35"/>
    </sheetView>
  </sheetViews>
  <sheetFormatPr defaultRowHeight="15"/>
  <cols>
    <col min="1" max="1" width="15.140625" bestFit="1" customWidth="1"/>
    <col min="2" max="2" width="19.42578125" bestFit="1" customWidth="1"/>
    <col min="4" max="4" width="15.140625" bestFit="1" customWidth="1"/>
    <col min="5" max="5" width="19.42578125" bestFit="1" customWidth="1"/>
  </cols>
  <sheetData>
    <row r="1" spans="1:5" ht="17.25">
      <c r="A1" s="29" t="s">
        <v>42</v>
      </c>
      <c r="B1" s="29"/>
      <c r="D1" s="29" t="s">
        <v>42</v>
      </c>
      <c r="E1" s="29"/>
    </row>
    <row r="2" spans="1:5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'Rhea Mae'!A26</f>
        <v>Payment Date:</v>
      </c>
      <c r="B4" s="21">
        <f>'Rhea Mae'!B26</f>
        <v>46055</v>
      </c>
      <c r="C4" s="7"/>
      <c r="D4" s="20" t="str">
        <f>'Jay Anne'!A26</f>
        <v>Payment Date:</v>
      </c>
      <c r="E4" s="21">
        <f>'Jay Anne'!B26</f>
        <v>46055</v>
      </c>
    </row>
    <row r="5" spans="1:5">
      <c r="A5" s="20" t="str">
        <f>'Rhea Mae'!A27</f>
        <v>Cut Off Period:</v>
      </c>
      <c r="B5" s="20" t="str">
        <f>'Rhea Mae'!B27</f>
        <v>Jan-26 to Feb-01, 2026</v>
      </c>
      <c r="C5" s="7"/>
      <c r="D5" s="20" t="str">
        <f>'Jay Anne'!A27</f>
        <v>Cut Off Period:</v>
      </c>
      <c r="E5" s="20" t="str">
        <f>'Jay Anne'!B27</f>
        <v>Jan-26 to Feb-01, 2026</v>
      </c>
    </row>
    <row r="6" spans="1:5">
      <c r="A6" s="20"/>
      <c r="B6" s="20"/>
      <c r="C6" s="7"/>
      <c r="D6" s="20"/>
      <c r="E6" s="20"/>
    </row>
    <row r="7" spans="1:5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'Rhea Mae'!A30</f>
        <v>Basic Pay</v>
      </c>
      <c r="B8" s="14">
        <f>'Rhea Mae'!B30</f>
        <v>1599.2950000000001</v>
      </c>
      <c r="C8" s="7"/>
      <c r="D8" s="20" t="str">
        <f>'Jay Anne'!A30</f>
        <v>Basic Pay</v>
      </c>
      <c r="E8" s="14">
        <f>'Jay Anne'!B30</f>
        <v>807.56999999999994</v>
      </c>
    </row>
    <row r="9" spans="1:5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'Rhea Mae'!A32</f>
        <v>Overtime Pay</v>
      </c>
      <c r="B10" s="14">
        <f>'Rhea Mae'!B32</f>
        <v>547.67040000000031</v>
      </c>
      <c r="C10" s="7"/>
      <c r="D10" s="20" t="str">
        <f>'Jay Anne'!A32</f>
        <v>Overtime Pay</v>
      </c>
      <c r="E10" s="14">
        <f>'Jay Anne'!B32</f>
        <v>107.67599999999999</v>
      </c>
    </row>
    <row r="11" spans="1:5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'Rhea Mae'!A36</f>
        <v>Gross Pay</v>
      </c>
      <c r="B14" s="14">
        <f>'Rhea Mae'!B36</f>
        <v>2146.9654000000005</v>
      </c>
      <c r="C14" s="7"/>
      <c r="D14" s="23" t="str">
        <f>'Jay Anne'!A36</f>
        <v>Gross Pay</v>
      </c>
      <c r="E14" s="14">
        <f>'Jay Anne'!B36</f>
        <v>915.24599999999998</v>
      </c>
    </row>
    <row r="15" spans="1:5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'Rhea Mae'!A40</f>
        <v>Net Pay</v>
      </c>
      <c r="B18" s="14">
        <f>'Rhea Mae'!B40</f>
        <v>2146.9654000000005</v>
      </c>
      <c r="C18" s="7"/>
      <c r="D18" s="22" t="str">
        <f>'Jay Anne'!A40</f>
        <v>Net Pay</v>
      </c>
      <c r="E18" s="14">
        <f>'Jay Anne'!B40</f>
        <v>915.24599999999998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25">
      <c r="A21" s="29" t="s">
        <v>42</v>
      </c>
      <c r="B21" s="29"/>
      <c r="D21" s="29" t="s">
        <v>42</v>
      </c>
      <c r="E21" s="29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>
      <c r="A24" s="20" t="str">
        <f>Kris!A26</f>
        <v>Payment Date:</v>
      </c>
      <c r="B24" s="21">
        <f>Kris!B26</f>
        <v>46055</v>
      </c>
      <c r="C24" s="7"/>
      <c r="D24" s="20" t="str">
        <f>Christian!A26</f>
        <v>Payment Date:</v>
      </c>
      <c r="E24" s="21">
        <f>Christian!B26</f>
        <v>46055</v>
      </c>
    </row>
    <row r="25" spans="1:5">
      <c r="A25" s="20" t="str">
        <f>Kris!A27</f>
        <v>Cut Off Period:</v>
      </c>
      <c r="B25" s="20" t="str">
        <f>Kris!B27</f>
        <v>Jan-26 to Feb-01, 2026</v>
      </c>
      <c r="C25" s="7"/>
      <c r="D25" s="20" t="str">
        <f>Christian!A27</f>
        <v>Cut Off Period:</v>
      </c>
      <c r="E25" s="20" t="str">
        <f>Christian!B27</f>
        <v>Jan-26 to Feb-01, 2026</v>
      </c>
    </row>
    <row r="26" spans="1:5">
      <c r="A26" s="20"/>
      <c r="B26" s="20"/>
      <c r="C26" s="7"/>
      <c r="D26" s="20"/>
      <c r="E26" s="20"/>
    </row>
    <row r="27" spans="1:5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>
      <c r="A28" s="20" t="str">
        <f>Kris!A30</f>
        <v>Basic Pay</v>
      </c>
      <c r="B28" s="14">
        <f>Kris!B30</f>
        <v>1307.52</v>
      </c>
      <c r="C28" s="7"/>
      <c r="D28" s="20" t="str">
        <f>Christian!A30</f>
        <v>Basic Pay</v>
      </c>
      <c r="E28" s="14">
        <f>Christian!B30</f>
        <v>1961.2800000000002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>
      <c r="A30" s="20" t="str">
        <f>Kris!A32</f>
        <v>Overtime Pay</v>
      </c>
      <c r="B30" s="14">
        <f>Kris!B32</f>
        <v>435.83999999999969</v>
      </c>
      <c r="C30" s="7"/>
      <c r="D30" s="20" t="str">
        <f>Christian!A32</f>
        <v>Overtime Pay</v>
      </c>
      <c r="E30" s="14">
        <f>Christian!B32</f>
        <v>653.75999999999954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1743.3599999999997</v>
      </c>
      <c r="C34" s="7"/>
      <c r="D34" s="23" t="str">
        <f>Christian!A36</f>
        <v>Gross Pay</v>
      </c>
      <c r="E34" s="14">
        <f>Christian!B36</f>
        <v>2615.04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1743.3599999999997</v>
      </c>
      <c r="C38" s="7"/>
      <c r="D38" s="22" t="str">
        <f>Christian!A40</f>
        <v>Net Pay</v>
      </c>
      <c r="E38" s="14">
        <f>Christian!B40</f>
        <v>2615.04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25">
      <c r="A42" s="29" t="s">
        <v>42</v>
      </c>
      <c r="B42" s="29"/>
      <c r="D42" s="29" t="s">
        <v>42</v>
      </c>
      <c r="E42" s="29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46055</v>
      </c>
      <c r="C45" s="7"/>
      <c r="D45" s="20" t="str">
        <f>Aldrin!A26</f>
        <v>Payment Date:</v>
      </c>
      <c r="E45" s="21">
        <f>Aldrin!B26</f>
        <v>46055</v>
      </c>
    </row>
    <row r="46" spans="1:5">
      <c r="A46" s="20" t="str">
        <f>Cherry!A27</f>
        <v>Cut Off Period:</v>
      </c>
      <c r="B46" s="20" t="str">
        <f>Cherry!B27</f>
        <v>Jan-26 to Feb-01, 2026</v>
      </c>
      <c r="C46" s="7"/>
      <c r="D46" s="20" t="str">
        <f>Aldrin!A27</f>
        <v>Cut Off Period:</v>
      </c>
      <c r="E46" s="20" t="str">
        <f>Aldrin!B27</f>
        <v>Jan-26 to Feb-01, 2026</v>
      </c>
    </row>
    <row r="47" spans="1:5">
      <c r="A47" s="20"/>
      <c r="B47" s="20"/>
      <c r="C47" s="7"/>
      <c r="D47" s="20"/>
      <c r="E47" s="20"/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1199.8799999999999</v>
      </c>
      <c r="C49" s="7"/>
      <c r="D49" s="20" t="str">
        <f>Aldrin!A30</f>
        <v>Basic Pay</v>
      </c>
      <c r="E49" s="14">
        <f>Aldrin!B30</f>
        <v>1138.57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399.95999999999964</v>
      </c>
      <c r="C51" s="7"/>
      <c r="D51" s="20" t="str">
        <f>Aldrin!A32</f>
        <v>Overtime Pay</v>
      </c>
      <c r="E51" s="14">
        <f>Aldrin!B32</f>
        <v>136.6284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1599.8399999999995</v>
      </c>
      <c r="C55" s="7"/>
      <c r="D55" s="20" t="str">
        <f>Aldrin!A36</f>
        <v>Gross Pay</v>
      </c>
      <c r="E55" s="14">
        <f>Aldrin!B36</f>
        <v>1275.1984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1599.8399999999995</v>
      </c>
      <c r="C59" s="7"/>
      <c r="D59" s="22" t="str">
        <f>Aldrin!A40</f>
        <v>Net Pay</v>
      </c>
      <c r="E59" s="14">
        <f>Aldrin!B40</f>
        <v>1275.1984</v>
      </c>
    </row>
    <row r="60" spans="1:5">
      <c r="A60" s="7"/>
      <c r="B60" s="7"/>
      <c r="C60" s="7"/>
      <c r="D60" s="7"/>
      <c r="E60" s="7"/>
    </row>
    <row r="62" spans="1:5" ht="17.25">
      <c r="A62" s="29" t="s">
        <v>42</v>
      </c>
      <c r="B62" s="29"/>
      <c r="D62" s="29" t="s">
        <v>42</v>
      </c>
      <c r="E62" s="29"/>
    </row>
    <row r="63" spans="1:5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>
      <c r="A65" s="10" t="str">
        <f>Mark!A26</f>
        <v>Payment Date:</v>
      </c>
      <c r="B65" s="21">
        <f>Mark!B26</f>
        <v>46055</v>
      </c>
      <c r="D65" s="10" t="str">
        <f>Chadiyah!A26</f>
        <v>Payment Date:</v>
      </c>
      <c r="E65" s="21">
        <f>Chadiyah!B26</f>
        <v>46055</v>
      </c>
    </row>
    <row r="66" spans="1:5">
      <c r="A66" s="10" t="str">
        <f>Mark!A27</f>
        <v>Cut Off Period:</v>
      </c>
      <c r="B66" s="10" t="str">
        <f>Mark!B27</f>
        <v>Jan-26 to Feb-01, 2026</v>
      </c>
      <c r="D66" s="10" t="str">
        <f>Chadiyah!A27</f>
        <v>Cut Off Period:</v>
      </c>
      <c r="E66" s="10" t="str">
        <f>Chadiyah!B27</f>
        <v>Jan-26 to Feb-01, 2026</v>
      </c>
    </row>
    <row r="67" spans="1:5">
      <c r="A67" s="10"/>
      <c r="B67" s="10"/>
      <c r="D67" s="10"/>
      <c r="E67" s="10"/>
    </row>
    <row r="68" spans="1:5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>
      <c r="A69" s="10" t="str">
        <f>Mark!A30</f>
        <v>Basic Pay</v>
      </c>
      <c r="B69" s="14">
        <f>Mark!B30</f>
        <v>1207.9950000000001</v>
      </c>
      <c r="D69" s="10" t="str">
        <f>Chadiyah!A30</f>
        <v>Basic Pay</v>
      </c>
      <c r="E69" s="14">
        <f>Chadiyah!B30</f>
        <v>1538.1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>
      <c r="A71" s="10" t="str">
        <f>Mark!A32</f>
        <v>Overtime Pay</v>
      </c>
      <c r="B71" s="14">
        <f>Mark!B32</f>
        <v>195.50079999999994</v>
      </c>
      <c r="D71" s="10" t="str">
        <f>Chadiyah!A32</f>
        <v>Overtime Pay</v>
      </c>
      <c r="E71" s="14">
        <f>Chadiyah!B32</f>
        <v>307.61999999999983</v>
      </c>
    </row>
    <row r="72" spans="1:5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1403.4957999999999</v>
      </c>
      <c r="D75" s="10" t="str">
        <f>Chadiyah!A36</f>
        <v>Gross Pay</v>
      </c>
      <c r="E75" s="14">
        <f>Chadiyah!B36</f>
        <v>1845.7199999999998</v>
      </c>
    </row>
    <row r="76" spans="1:5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1403.4957999999999</v>
      </c>
      <c r="D79" s="13" t="str">
        <f>Chadiyah!A40</f>
        <v>Net Pay</v>
      </c>
      <c r="E79" s="14">
        <f>Chadiyah!B40</f>
        <v>1845.7199999999998</v>
      </c>
    </row>
    <row r="82" spans="1:5" ht="17.25">
      <c r="A82" s="29" t="s">
        <v>42</v>
      </c>
      <c r="B82" s="29"/>
      <c r="D82" s="29" t="s">
        <v>42</v>
      </c>
      <c r="E82" s="29"/>
    </row>
    <row r="83" spans="1:5">
      <c r="A83" s="10" t="str">
        <f>Lenard!A24</f>
        <v>Name:</v>
      </c>
      <c r="B83" s="10" t="str">
        <f>Lenard!B24</f>
        <v>Lenard</v>
      </c>
      <c r="D83" s="10">
        <f>Chadiyah!A44</f>
        <v>0</v>
      </c>
      <c r="E83" s="10">
        <f>Chadiyah!B44</f>
        <v>0</v>
      </c>
    </row>
    <row r="84" spans="1:5">
      <c r="A84" s="10" t="str">
        <f>Lenard!A25</f>
        <v>Job Title:</v>
      </c>
      <c r="B84" s="10" t="str">
        <f>Lenard!B25</f>
        <v>Staff</v>
      </c>
      <c r="D84" s="10">
        <f>Chadiyah!A45</f>
        <v>0</v>
      </c>
      <c r="E84" s="10">
        <f>Chadiyah!B45</f>
        <v>0</v>
      </c>
    </row>
    <row r="85" spans="1:5">
      <c r="A85" s="10" t="str">
        <f>Lenard!A26</f>
        <v>Payment Date:</v>
      </c>
      <c r="B85" s="21">
        <f>Lenard!B26</f>
        <v>46055</v>
      </c>
      <c r="D85" s="10">
        <f>Chadiyah!A46</f>
        <v>0</v>
      </c>
      <c r="E85" s="21">
        <f>Chadiyah!B46</f>
        <v>0</v>
      </c>
    </row>
    <row r="86" spans="1:5">
      <c r="A86" s="10" t="str">
        <f>Lenard!A27</f>
        <v>Cut Off Period:</v>
      </c>
      <c r="B86" s="10" t="str">
        <f>Lenard!B27</f>
        <v>Jan-26 to Feb-01, 2026</v>
      </c>
      <c r="D86" s="10">
        <f>Chadiyah!A47</f>
        <v>0</v>
      </c>
      <c r="E86" s="10">
        <f>Chadiyah!B47</f>
        <v>0</v>
      </c>
    </row>
    <row r="87" spans="1:5">
      <c r="A87" s="10"/>
      <c r="B87" s="10"/>
      <c r="D87" s="10"/>
      <c r="E87" s="10"/>
    </row>
    <row r="88" spans="1:5">
      <c r="A88" s="10" t="str">
        <f>Lenard!A29</f>
        <v>Adjustments</v>
      </c>
      <c r="B88" s="10"/>
      <c r="D88" s="13">
        <f>Chadiyah!A49</f>
        <v>0</v>
      </c>
      <c r="E88" s="10"/>
    </row>
    <row r="89" spans="1:5">
      <c r="A89" s="10" t="str">
        <f>Lenard!A30</f>
        <v>Basic Pay</v>
      </c>
      <c r="B89" s="14">
        <f>Lenard!B30</f>
        <v>322.18999999999994</v>
      </c>
      <c r="D89" s="10">
        <f>Chadiyah!A50</f>
        <v>0</v>
      </c>
      <c r="E89" s="14">
        <f>Chadiyah!B50</f>
        <v>0</v>
      </c>
    </row>
    <row r="90" spans="1:5">
      <c r="A90" s="10" t="str">
        <f>Lenard!A31</f>
        <v>Bonus/Incentives</v>
      </c>
      <c r="B90" s="14">
        <f>Lenard!B31</f>
        <v>0</v>
      </c>
      <c r="D90" s="10">
        <f>Chadiyah!A51</f>
        <v>0</v>
      </c>
      <c r="E90" s="14">
        <f>Chadiyah!B51</f>
        <v>0</v>
      </c>
    </row>
    <row r="91" spans="1:5">
      <c r="A91" s="10" t="str">
        <f>Lenard!A32</f>
        <v>Overtime Pay</v>
      </c>
      <c r="B91" s="14">
        <f>Lenard!B32</f>
        <v>0</v>
      </c>
      <c r="D91" s="10">
        <f>Chadiyah!A52</f>
        <v>0</v>
      </c>
      <c r="E91" s="14">
        <f>Chadiyah!B52</f>
        <v>0</v>
      </c>
    </row>
    <row r="92" spans="1:5">
      <c r="A92" s="10" t="str">
        <f>Lenard!A33</f>
        <v>Other Income</v>
      </c>
      <c r="B92" s="14">
        <f>Lenard!B33</f>
        <v>0</v>
      </c>
      <c r="D92" s="10">
        <f>Chadiyah!A53</f>
        <v>0</v>
      </c>
      <c r="E92" s="14">
        <f>Chadiyah!B53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322.18999999999994</v>
      </c>
      <c r="D95" s="10">
        <f>Chadiyah!A56</f>
        <v>0</v>
      </c>
      <c r="E95" s="14">
        <f>Chadiyah!B56</f>
        <v>0</v>
      </c>
    </row>
    <row r="96" spans="1:5">
      <c r="A96" s="10" t="str">
        <f>Lenard!A37</f>
        <v>Deductions</v>
      </c>
      <c r="B96" s="14">
        <f>Lenard!B37</f>
        <v>0</v>
      </c>
      <c r="D96" s="10">
        <f>Chadiyah!A57</f>
        <v>0</v>
      </c>
      <c r="E96" s="14">
        <f>Chadiyah!B57</f>
        <v>0</v>
      </c>
    </row>
    <row r="97" spans="1:5">
      <c r="A97" s="10" t="str">
        <f>Lenard!A38</f>
        <v>WH Tax</v>
      </c>
      <c r="B97" s="14">
        <f>Lenard!B38</f>
        <v>0</v>
      </c>
      <c r="D97" s="10">
        <f>Chadiyah!A58</f>
        <v>0</v>
      </c>
      <c r="E97" s="14">
        <f>Chadiyah!B58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322.18999999999994</v>
      </c>
      <c r="D99" s="13">
        <f>Chadiyah!A60</f>
        <v>0</v>
      </c>
      <c r="E99" s="14">
        <f>Chadiyah!B60</f>
        <v>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B11"/>
  <sheetViews>
    <sheetView tabSelected="1" workbookViewId="0">
      <selection activeCell="B11" sqref="B11"/>
    </sheetView>
  </sheetViews>
  <sheetFormatPr defaultRowHeight="15"/>
  <cols>
    <col min="1" max="1" width="13.5703125" bestFit="1" customWidth="1"/>
    <col min="2" max="2" width="9" bestFit="1" customWidth="1"/>
  </cols>
  <sheetData>
    <row r="1" spans="1:2">
      <c r="A1" s="6" t="s">
        <v>85</v>
      </c>
      <c r="B1" s="6" t="s">
        <v>7</v>
      </c>
    </row>
    <row r="2" spans="1:2">
      <c r="A2" t="str">
        <f>'Rhea Mae'!A15</f>
        <v>Rhea Mae</v>
      </c>
      <c r="B2" s="8">
        <f>'Rhea Mae'!D15</f>
        <v>2146.9654000000005</v>
      </c>
    </row>
    <row r="3" spans="1:2">
      <c r="A3" t="str">
        <f>'Jay Anne'!A15</f>
        <v>Jay Anne</v>
      </c>
      <c r="B3" s="8">
        <f>'Jay Anne'!D15</f>
        <v>915.24599999999998</v>
      </c>
    </row>
    <row r="4" spans="1:2">
      <c r="A4" t="str">
        <f>Kris!A15</f>
        <v>Kris Naynayan</v>
      </c>
      <c r="B4" s="8">
        <f>Kris!D15</f>
        <v>1743.3599999999997</v>
      </c>
    </row>
    <row r="5" spans="1:2">
      <c r="A5" t="str">
        <f>Christian!A15</f>
        <v>Christian</v>
      </c>
      <c r="B5" s="8">
        <f>Christian!D15</f>
        <v>2615.04</v>
      </c>
    </row>
    <row r="6" spans="1:2">
      <c r="A6" t="str">
        <f>Cherry!A15</f>
        <v>Cherry</v>
      </c>
      <c r="B6" s="8">
        <f>Cherry!D15</f>
        <v>1599.8399999999995</v>
      </c>
    </row>
    <row r="7" spans="1:2">
      <c r="A7" t="str">
        <f>Aldrin!A15</f>
        <v>Aldrin</v>
      </c>
      <c r="B7" s="8">
        <f>Aldrin!D15</f>
        <v>1275.1984</v>
      </c>
    </row>
    <row r="8" spans="1:2">
      <c r="A8" t="str">
        <f>Mark!A15</f>
        <v>Mark</v>
      </c>
      <c r="B8" s="8">
        <f>Mark!D15</f>
        <v>1403.4957999999999</v>
      </c>
    </row>
    <row r="9" spans="1:2">
      <c r="A9" t="str">
        <f>Lenard!A15</f>
        <v>Lenard</v>
      </c>
      <c r="B9" s="8">
        <f>Lenard!D15</f>
        <v>322.18999999999994</v>
      </c>
    </row>
    <row r="10" spans="1:2">
      <c r="A10" t="str">
        <f>Chadiyah!A15</f>
        <v>Chadiyah</v>
      </c>
      <c r="B10" s="8">
        <f>Chadiyah!D15</f>
        <v>1845.7199999999998</v>
      </c>
    </row>
    <row r="11" spans="1:2">
      <c r="B11" s="8">
        <f>SUM(B2:B10)</f>
        <v>13867.0556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topLeftCell="A13" workbookViewId="0">
      <selection activeCell="B26" sqref="B26:B27"/>
    </sheetView>
  </sheetViews>
  <sheetFormatPr defaultColWidth="15.42578125" defaultRowHeight="15"/>
  <cols>
    <col min="1" max="1" width="15.71093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20</v>
      </c>
      <c r="C2" s="4" t="s">
        <v>70</v>
      </c>
      <c r="D2" s="25" t="s">
        <v>71</v>
      </c>
      <c r="E2" s="25" t="s">
        <v>57</v>
      </c>
      <c r="F2">
        <v>38.46</v>
      </c>
      <c r="G2" s="7">
        <f t="shared" ref="G2:G8" si="0">(E2-D2)*24</f>
        <v>5.5833333333333348</v>
      </c>
      <c r="H2" s="7">
        <f>MIN(G2,9)</f>
        <v>5.5833333333333348</v>
      </c>
      <c r="I2" s="7">
        <v>0</v>
      </c>
      <c r="J2" s="7">
        <f t="shared" ref="J2:J8" si="1">H2*F2</f>
        <v>214.73500000000007</v>
      </c>
      <c r="K2" s="7">
        <f t="shared" ref="K2:K8" si="2">I2*F2*1.2</f>
        <v>0</v>
      </c>
      <c r="L2" s="7">
        <f t="shared" ref="L2:L8" si="3">J2+K2</f>
        <v>214.73500000000007</v>
      </c>
    </row>
    <row r="3" spans="1:12">
      <c r="A3" t="s">
        <v>14</v>
      </c>
      <c r="B3" s="2" t="s">
        <v>20</v>
      </c>
      <c r="C3" s="4" t="s">
        <v>72</v>
      </c>
      <c r="D3" s="25" t="s">
        <v>73</v>
      </c>
      <c r="E3" s="25" t="s">
        <v>57</v>
      </c>
      <c r="F3">
        <v>38.46</v>
      </c>
      <c r="G3" s="7">
        <f t="shared" si="0"/>
        <v>12.966666666666669</v>
      </c>
      <c r="H3" s="7">
        <f t="shared" ref="H3:H8" si="4">MIN(G3,9)</f>
        <v>9</v>
      </c>
      <c r="I3" s="7">
        <f t="shared" ref="I3:I7" si="5">MAX(G3-9,0) - 1</f>
        <v>2.9666666666666686</v>
      </c>
      <c r="J3" s="7">
        <f t="shared" si="1"/>
        <v>346.14</v>
      </c>
      <c r="K3" s="7">
        <f t="shared" si="2"/>
        <v>136.91760000000008</v>
      </c>
      <c r="L3" s="7">
        <f t="shared" si="3"/>
        <v>483.05760000000009</v>
      </c>
    </row>
    <row r="4" spans="1:12">
      <c r="A4" t="s">
        <v>14</v>
      </c>
      <c r="B4" s="2" t="s">
        <v>20</v>
      </c>
      <c r="C4" s="4" t="s">
        <v>74</v>
      </c>
      <c r="D4" s="25" t="s">
        <v>34</v>
      </c>
      <c r="E4" s="25" t="s">
        <v>34</v>
      </c>
      <c r="F4">
        <v>38.46</v>
      </c>
      <c r="G4" s="7">
        <f t="shared" si="0"/>
        <v>0</v>
      </c>
      <c r="H4" s="7">
        <f t="shared" si="4"/>
        <v>0</v>
      </c>
      <c r="I4" s="7"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14</v>
      </c>
      <c r="B5" s="2" t="s">
        <v>20</v>
      </c>
      <c r="C5" s="4" t="s">
        <v>75</v>
      </c>
      <c r="D5" s="25" t="s">
        <v>61</v>
      </c>
      <c r="E5" s="25" t="s">
        <v>57</v>
      </c>
      <c r="F5">
        <v>38.46</v>
      </c>
      <c r="G5" s="7">
        <f t="shared" si="0"/>
        <v>12.900000000000002</v>
      </c>
      <c r="H5" s="7">
        <f t="shared" si="4"/>
        <v>9</v>
      </c>
      <c r="I5" s="7">
        <f t="shared" si="5"/>
        <v>2.9000000000000021</v>
      </c>
      <c r="J5" s="7">
        <f t="shared" si="1"/>
        <v>346.14</v>
      </c>
      <c r="K5" s="7">
        <f t="shared" si="2"/>
        <v>133.84080000000012</v>
      </c>
      <c r="L5" s="7">
        <f t="shared" si="3"/>
        <v>479.9808000000001</v>
      </c>
    </row>
    <row r="6" spans="1:12">
      <c r="A6" t="s">
        <v>14</v>
      </c>
      <c r="B6" s="2" t="s">
        <v>20</v>
      </c>
      <c r="C6" s="4" t="s">
        <v>76</v>
      </c>
      <c r="D6" s="4" t="s">
        <v>33</v>
      </c>
      <c r="E6" s="25" t="s">
        <v>57</v>
      </c>
      <c r="F6">
        <v>38.46</v>
      </c>
      <c r="G6" s="7">
        <f t="shared" si="0"/>
        <v>13.000000000000002</v>
      </c>
      <c r="H6" s="7">
        <f t="shared" si="4"/>
        <v>9</v>
      </c>
      <c r="I6" s="7">
        <f t="shared" si="5"/>
        <v>3.0000000000000018</v>
      </c>
      <c r="J6" s="7">
        <f t="shared" si="1"/>
        <v>346.14</v>
      </c>
      <c r="K6" s="7">
        <f t="shared" si="2"/>
        <v>138.45600000000007</v>
      </c>
      <c r="L6" s="7">
        <f t="shared" si="3"/>
        <v>484.59600000000006</v>
      </c>
    </row>
    <row r="7" spans="1:12">
      <c r="A7" t="s">
        <v>14</v>
      </c>
      <c r="B7" s="2" t="s">
        <v>20</v>
      </c>
      <c r="C7" s="4" t="s">
        <v>77</v>
      </c>
      <c r="D7" s="4" t="s">
        <v>33</v>
      </c>
      <c r="E7" s="25" t="s">
        <v>57</v>
      </c>
      <c r="F7">
        <v>38.46</v>
      </c>
      <c r="G7" s="7">
        <f t="shared" si="0"/>
        <v>13.000000000000002</v>
      </c>
      <c r="H7" s="7">
        <f t="shared" si="4"/>
        <v>9</v>
      </c>
      <c r="I7" s="7">
        <f t="shared" si="5"/>
        <v>3.0000000000000018</v>
      </c>
      <c r="J7" s="7">
        <f t="shared" si="1"/>
        <v>346.14</v>
      </c>
      <c r="K7" s="7">
        <f t="shared" si="2"/>
        <v>138.45600000000007</v>
      </c>
      <c r="L7" s="7">
        <f t="shared" si="3"/>
        <v>484.59600000000006</v>
      </c>
    </row>
    <row r="8" spans="1:12">
      <c r="A8" t="s">
        <v>14</v>
      </c>
      <c r="B8" s="2" t="s">
        <v>20</v>
      </c>
      <c r="C8" s="4" t="s">
        <v>78</v>
      </c>
      <c r="D8" s="25" t="s">
        <v>34</v>
      </c>
      <c r="E8" s="25" t="s">
        <v>34</v>
      </c>
      <c r="F8">
        <v>38.46</v>
      </c>
      <c r="G8" s="7">
        <f t="shared" si="0"/>
        <v>0</v>
      </c>
      <c r="H8" s="7">
        <f t="shared" si="4"/>
        <v>0</v>
      </c>
      <c r="I8" s="7"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1599.2950000000001</v>
      </c>
      <c r="C15" s="8">
        <f>SUM(K2:K13)</f>
        <v>547.67040000000031</v>
      </c>
      <c r="D15" s="8">
        <f>SUM(L2:L13)</f>
        <v>2146.9654000000005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Rhea Mae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1599.2950000000001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547.67040000000031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2146.9654000000005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2146.9654000000005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B26" sqref="B26:B27"/>
    </sheetView>
  </sheetViews>
  <sheetFormatPr defaultColWidth="13.710937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21</v>
      </c>
      <c r="C2" s="4" t="s">
        <v>70</v>
      </c>
      <c r="D2" s="25" t="s">
        <v>34</v>
      </c>
      <c r="E2" s="25" t="s">
        <v>34</v>
      </c>
      <c r="F2">
        <v>29.91</v>
      </c>
      <c r="G2">
        <f t="shared" ref="G2:G8" si="0">(E2-D2)*24</f>
        <v>0</v>
      </c>
      <c r="H2">
        <f>MIN(G2,9)</f>
        <v>0</v>
      </c>
      <c r="I2"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</v>
      </c>
      <c r="B3" s="2" t="s">
        <v>21</v>
      </c>
      <c r="C3" s="4" t="s">
        <v>72</v>
      </c>
      <c r="D3" s="25" t="s">
        <v>34</v>
      </c>
      <c r="E3" s="25" t="s">
        <v>34</v>
      </c>
      <c r="F3">
        <v>29.91</v>
      </c>
      <c r="G3">
        <f t="shared" si="0"/>
        <v>0</v>
      </c>
      <c r="H3">
        <f t="shared" ref="H3:H8" si="4">MIN(G3,9)</f>
        <v>0</v>
      </c>
      <c r="I3"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21</v>
      </c>
      <c r="C4" s="4" t="s">
        <v>74</v>
      </c>
      <c r="D4" s="25" t="s">
        <v>31</v>
      </c>
      <c r="E4" s="25" t="s">
        <v>62</v>
      </c>
      <c r="F4">
        <v>29.91</v>
      </c>
      <c r="G4">
        <f t="shared" si="0"/>
        <v>11</v>
      </c>
      <c r="H4">
        <f t="shared" si="4"/>
        <v>9</v>
      </c>
      <c r="I4">
        <f t="shared" ref="I4:I6" si="5">MAX(G4-9,0) - 1</f>
        <v>1</v>
      </c>
      <c r="J4">
        <f t="shared" si="1"/>
        <v>269.19</v>
      </c>
      <c r="K4">
        <f t="shared" si="2"/>
        <v>35.891999999999996</v>
      </c>
      <c r="L4">
        <f t="shared" si="3"/>
        <v>305.08199999999999</v>
      </c>
    </row>
    <row r="5" spans="1:12">
      <c r="A5" t="s">
        <v>12</v>
      </c>
      <c r="B5" s="2" t="s">
        <v>21</v>
      </c>
      <c r="C5" s="4" t="s">
        <v>75</v>
      </c>
      <c r="D5" s="25" t="s">
        <v>31</v>
      </c>
      <c r="E5" s="25" t="s">
        <v>62</v>
      </c>
      <c r="F5">
        <v>29.91</v>
      </c>
      <c r="G5">
        <f t="shared" si="0"/>
        <v>11</v>
      </c>
      <c r="H5">
        <f t="shared" si="4"/>
        <v>9</v>
      </c>
      <c r="I5">
        <f t="shared" si="5"/>
        <v>1</v>
      </c>
      <c r="J5">
        <f t="shared" si="1"/>
        <v>269.19</v>
      </c>
      <c r="K5">
        <f t="shared" si="2"/>
        <v>35.891999999999996</v>
      </c>
      <c r="L5">
        <f t="shared" si="3"/>
        <v>305.08199999999999</v>
      </c>
    </row>
    <row r="6" spans="1:12">
      <c r="A6" t="s">
        <v>12</v>
      </c>
      <c r="B6" s="2" t="s">
        <v>21</v>
      </c>
      <c r="C6" s="4" t="s">
        <v>76</v>
      </c>
      <c r="D6" s="25" t="s">
        <v>31</v>
      </c>
      <c r="E6" s="25" t="s">
        <v>62</v>
      </c>
      <c r="F6">
        <v>29.91</v>
      </c>
      <c r="G6">
        <f t="shared" si="0"/>
        <v>11</v>
      </c>
      <c r="H6">
        <f t="shared" si="4"/>
        <v>9</v>
      </c>
      <c r="I6">
        <f t="shared" si="5"/>
        <v>1</v>
      </c>
      <c r="J6">
        <f t="shared" si="1"/>
        <v>269.19</v>
      </c>
      <c r="K6">
        <f t="shared" si="2"/>
        <v>35.891999999999996</v>
      </c>
      <c r="L6">
        <f t="shared" si="3"/>
        <v>305.08199999999999</v>
      </c>
    </row>
    <row r="7" spans="1:12">
      <c r="A7" t="s">
        <v>12</v>
      </c>
      <c r="B7" s="2" t="s">
        <v>21</v>
      </c>
      <c r="C7" s="4" t="s">
        <v>77</v>
      </c>
      <c r="D7" s="25" t="s">
        <v>34</v>
      </c>
      <c r="E7" s="25" t="s">
        <v>34</v>
      </c>
      <c r="F7">
        <v>29.91</v>
      </c>
      <c r="G7">
        <f t="shared" si="0"/>
        <v>0</v>
      </c>
      <c r="H7">
        <f t="shared" si="4"/>
        <v>0</v>
      </c>
      <c r="I7"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21</v>
      </c>
      <c r="C8" s="4" t="s">
        <v>78</v>
      </c>
      <c r="D8" s="25" t="s">
        <v>34</v>
      </c>
      <c r="E8" s="25" t="s">
        <v>34</v>
      </c>
      <c r="F8">
        <v>29.91</v>
      </c>
      <c r="G8">
        <f t="shared" si="0"/>
        <v>0</v>
      </c>
      <c r="H8">
        <f t="shared" si="4"/>
        <v>0</v>
      </c>
      <c r="I8"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12</v>
      </c>
      <c r="B15" s="8">
        <f>SUM(J2:J13)</f>
        <v>807.56999999999994</v>
      </c>
      <c r="C15" s="8">
        <f>SUM(K2:K13)</f>
        <v>107.67599999999999</v>
      </c>
      <c r="D15" s="8">
        <f>SUM(L2:L13)</f>
        <v>915.24599999999998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Jay Anne</v>
      </c>
      <c r="C24" s="16"/>
    </row>
    <row r="25" spans="1:4">
      <c r="A25" s="10" t="s">
        <v>44</v>
      </c>
      <c r="B25" s="11" t="s">
        <v>60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807.56999999999994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107.67599999999999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915.24599999999998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915.24599999999998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B26" sqref="B26:B27"/>
    </sheetView>
  </sheetViews>
  <sheetFormatPr defaultColWidth="13.28515625" defaultRowHeight="15"/>
  <cols>
    <col min="1" max="1" width="15.85546875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35</v>
      </c>
      <c r="B2" s="2" t="s">
        <v>20</v>
      </c>
      <c r="C2" s="4" t="s">
        <v>70</v>
      </c>
      <c r="D2" s="25" t="s">
        <v>34</v>
      </c>
      <c r="E2" s="25" t="s">
        <v>34</v>
      </c>
      <c r="F2">
        <v>36.32</v>
      </c>
      <c r="G2">
        <f t="shared" ref="G2:G8" si="0">(E2-D2)*24</f>
        <v>0</v>
      </c>
      <c r="H2">
        <f>MIN(G2,9)</f>
        <v>0</v>
      </c>
      <c r="I2" s="7"/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35</v>
      </c>
      <c r="B3" s="2" t="s">
        <v>20</v>
      </c>
      <c r="C3" s="4" t="s">
        <v>72</v>
      </c>
      <c r="D3" s="25" t="s">
        <v>34</v>
      </c>
      <c r="E3" s="25" t="s">
        <v>34</v>
      </c>
      <c r="F3">
        <v>36.32</v>
      </c>
      <c r="G3">
        <f t="shared" si="0"/>
        <v>0</v>
      </c>
      <c r="H3">
        <f t="shared" ref="H3:H8" si="4">MIN(G3,9)</f>
        <v>0</v>
      </c>
      <c r="I3" s="7"/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35</v>
      </c>
      <c r="B4" s="2" t="s">
        <v>20</v>
      </c>
      <c r="C4" s="4" t="s">
        <v>74</v>
      </c>
      <c r="D4" s="4" t="s">
        <v>33</v>
      </c>
      <c r="E4" s="25" t="s">
        <v>62</v>
      </c>
      <c r="F4">
        <v>36.32</v>
      </c>
      <c r="G4">
        <f t="shared" si="0"/>
        <v>12.499999999999998</v>
      </c>
      <c r="H4">
        <f t="shared" si="4"/>
        <v>9</v>
      </c>
      <c r="I4" s="7">
        <f t="shared" ref="I4:I7" si="5">MAX(G4-9,0) - 1</f>
        <v>2.4999999999999982</v>
      </c>
      <c r="J4">
        <f t="shared" si="1"/>
        <v>326.88</v>
      </c>
      <c r="K4">
        <f t="shared" si="2"/>
        <v>108.95999999999992</v>
      </c>
      <c r="L4">
        <f t="shared" si="3"/>
        <v>435.83999999999992</v>
      </c>
    </row>
    <row r="5" spans="1:12">
      <c r="A5" t="s">
        <v>35</v>
      </c>
      <c r="B5" s="2" t="s">
        <v>20</v>
      </c>
      <c r="C5" s="4" t="s">
        <v>75</v>
      </c>
      <c r="D5" s="4" t="s">
        <v>33</v>
      </c>
      <c r="E5" s="25" t="s">
        <v>62</v>
      </c>
      <c r="F5">
        <v>36.32</v>
      </c>
      <c r="G5">
        <f t="shared" si="0"/>
        <v>12.499999999999998</v>
      </c>
      <c r="H5">
        <f t="shared" si="4"/>
        <v>9</v>
      </c>
      <c r="I5" s="7">
        <f t="shared" si="5"/>
        <v>2.4999999999999982</v>
      </c>
      <c r="J5">
        <f t="shared" si="1"/>
        <v>326.88</v>
      </c>
      <c r="K5">
        <f t="shared" si="2"/>
        <v>108.95999999999992</v>
      </c>
      <c r="L5">
        <f t="shared" si="3"/>
        <v>435.83999999999992</v>
      </c>
    </row>
    <row r="6" spans="1:12">
      <c r="A6" t="s">
        <v>35</v>
      </c>
      <c r="B6" s="2" t="s">
        <v>20</v>
      </c>
      <c r="C6" s="4" t="s">
        <v>76</v>
      </c>
      <c r="D6" s="4" t="s">
        <v>33</v>
      </c>
      <c r="E6" s="25" t="s">
        <v>62</v>
      </c>
      <c r="F6">
        <v>36.32</v>
      </c>
      <c r="G6">
        <f t="shared" si="0"/>
        <v>12.499999999999998</v>
      </c>
      <c r="H6">
        <f t="shared" si="4"/>
        <v>9</v>
      </c>
      <c r="I6" s="7">
        <f t="shared" si="5"/>
        <v>2.4999999999999982</v>
      </c>
      <c r="J6">
        <f t="shared" si="1"/>
        <v>326.88</v>
      </c>
      <c r="K6">
        <f t="shared" si="2"/>
        <v>108.95999999999992</v>
      </c>
      <c r="L6">
        <f t="shared" si="3"/>
        <v>435.83999999999992</v>
      </c>
    </row>
    <row r="7" spans="1:12">
      <c r="A7" t="s">
        <v>35</v>
      </c>
      <c r="B7" s="2" t="s">
        <v>20</v>
      </c>
      <c r="C7" s="4" t="s">
        <v>77</v>
      </c>
      <c r="D7" s="4" t="s">
        <v>33</v>
      </c>
      <c r="E7" s="25" t="s">
        <v>62</v>
      </c>
      <c r="F7">
        <v>36.32</v>
      </c>
      <c r="G7">
        <f t="shared" si="0"/>
        <v>12.499999999999998</v>
      </c>
      <c r="H7">
        <f t="shared" si="4"/>
        <v>9</v>
      </c>
      <c r="I7" s="7">
        <f t="shared" si="5"/>
        <v>2.4999999999999982</v>
      </c>
      <c r="J7">
        <f t="shared" si="1"/>
        <v>326.88</v>
      </c>
      <c r="K7">
        <f t="shared" si="2"/>
        <v>108.95999999999992</v>
      </c>
      <c r="L7">
        <f t="shared" si="3"/>
        <v>435.83999999999992</v>
      </c>
    </row>
    <row r="8" spans="1:12">
      <c r="A8" t="s">
        <v>35</v>
      </c>
      <c r="B8" s="2" t="s">
        <v>20</v>
      </c>
      <c r="C8" s="4" t="s">
        <v>78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4"/>
        <v>0</v>
      </c>
      <c r="I8" s="7"/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35</v>
      </c>
      <c r="B15" s="8">
        <f>SUM(J2:J13)</f>
        <v>1307.52</v>
      </c>
      <c r="C15" s="8">
        <f>SUM(K2:K13)</f>
        <v>435.83999999999969</v>
      </c>
      <c r="D15" s="8">
        <f>SUM(L2:L13)</f>
        <v>1743.3599999999997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Kris Naynayan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1307.52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435.83999999999969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1743.3599999999997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1743.3599999999997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I2" sqref="I2"/>
    </sheetView>
  </sheetViews>
  <sheetFormatPr defaultColWidth="13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4" t="s">
        <v>70</v>
      </c>
      <c r="D2" s="4" t="s">
        <v>33</v>
      </c>
      <c r="E2" s="25" t="s">
        <v>62</v>
      </c>
      <c r="F2">
        <v>36.32</v>
      </c>
      <c r="G2">
        <f t="shared" ref="G2:G8" si="0">(E2-D2)*24</f>
        <v>12.499999999999998</v>
      </c>
      <c r="H2">
        <f>MIN(G2,9)</f>
        <v>9</v>
      </c>
      <c r="I2">
        <f>MAX(G2-9,0) - 1</f>
        <v>2.4999999999999982</v>
      </c>
      <c r="J2">
        <f t="shared" ref="J2:J8" si="1">H2*F2</f>
        <v>326.88</v>
      </c>
      <c r="K2">
        <f>I2*F2*1.2</f>
        <v>108.95999999999992</v>
      </c>
      <c r="L2">
        <f t="shared" ref="L2:L8" si="2">J2+K2</f>
        <v>435.83999999999992</v>
      </c>
    </row>
    <row r="3" spans="1:12">
      <c r="A3" t="s">
        <v>16</v>
      </c>
      <c r="B3" s="2" t="s">
        <v>20</v>
      </c>
      <c r="C3" s="4" t="s">
        <v>72</v>
      </c>
      <c r="D3" s="4" t="s">
        <v>33</v>
      </c>
      <c r="E3" s="25" t="s">
        <v>62</v>
      </c>
      <c r="F3">
        <v>36.32</v>
      </c>
      <c r="G3">
        <f t="shared" si="0"/>
        <v>12.499999999999998</v>
      </c>
      <c r="H3">
        <f t="shared" ref="H3:H8" si="3">MIN(G3,9)</f>
        <v>9</v>
      </c>
      <c r="I3">
        <f t="shared" ref="I3:I7" si="4">MAX(G3-9,0) - 1</f>
        <v>2.4999999999999982</v>
      </c>
      <c r="J3">
        <f t="shared" si="1"/>
        <v>326.88</v>
      </c>
      <c r="K3">
        <f t="shared" ref="K3:K7" si="5">I3*F3*1.2</f>
        <v>108.95999999999992</v>
      </c>
      <c r="L3">
        <f t="shared" si="2"/>
        <v>435.83999999999992</v>
      </c>
    </row>
    <row r="4" spans="1:12">
      <c r="A4" t="s">
        <v>16</v>
      </c>
      <c r="B4" s="2" t="s">
        <v>20</v>
      </c>
      <c r="C4" s="4" t="s">
        <v>74</v>
      </c>
      <c r="D4" s="4" t="s">
        <v>33</v>
      </c>
      <c r="E4" s="25" t="s">
        <v>62</v>
      </c>
      <c r="F4">
        <v>36.32</v>
      </c>
      <c r="G4">
        <f t="shared" si="0"/>
        <v>12.499999999999998</v>
      </c>
      <c r="H4">
        <f t="shared" si="3"/>
        <v>9</v>
      </c>
      <c r="I4">
        <f t="shared" si="4"/>
        <v>2.4999999999999982</v>
      </c>
      <c r="J4">
        <f t="shared" si="1"/>
        <v>326.88</v>
      </c>
      <c r="K4">
        <f t="shared" si="5"/>
        <v>108.95999999999992</v>
      </c>
      <c r="L4">
        <f t="shared" si="2"/>
        <v>435.83999999999992</v>
      </c>
    </row>
    <row r="5" spans="1:12">
      <c r="A5" t="s">
        <v>16</v>
      </c>
      <c r="B5" s="2" t="s">
        <v>20</v>
      </c>
      <c r="C5" s="4" t="s">
        <v>75</v>
      </c>
      <c r="D5" s="4" t="s">
        <v>33</v>
      </c>
      <c r="E5" s="25" t="s">
        <v>62</v>
      </c>
      <c r="F5">
        <v>36.32</v>
      </c>
      <c r="G5">
        <f t="shared" si="0"/>
        <v>12.499999999999998</v>
      </c>
      <c r="H5">
        <f t="shared" si="3"/>
        <v>9</v>
      </c>
      <c r="I5">
        <f t="shared" si="4"/>
        <v>2.4999999999999982</v>
      </c>
      <c r="J5">
        <f t="shared" si="1"/>
        <v>326.88</v>
      </c>
      <c r="K5">
        <f t="shared" si="5"/>
        <v>108.95999999999992</v>
      </c>
      <c r="L5">
        <f t="shared" si="2"/>
        <v>435.83999999999992</v>
      </c>
    </row>
    <row r="6" spans="1:12">
      <c r="A6" t="s">
        <v>16</v>
      </c>
      <c r="B6" s="2" t="s">
        <v>20</v>
      </c>
      <c r="C6" s="4" t="s">
        <v>76</v>
      </c>
      <c r="D6" s="4" t="s">
        <v>33</v>
      </c>
      <c r="E6" s="25" t="s">
        <v>62</v>
      </c>
      <c r="F6">
        <v>36.32</v>
      </c>
      <c r="G6">
        <f t="shared" si="0"/>
        <v>12.499999999999998</v>
      </c>
      <c r="H6">
        <f t="shared" si="3"/>
        <v>9</v>
      </c>
      <c r="I6">
        <f t="shared" si="4"/>
        <v>2.4999999999999982</v>
      </c>
      <c r="J6">
        <f t="shared" si="1"/>
        <v>326.88</v>
      </c>
      <c r="K6">
        <f t="shared" si="5"/>
        <v>108.95999999999992</v>
      </c>
      <c r="L6">
        <f t="shared" si="2"/>
        <v>435.83999999999992</v>
      </c>
    </row>
    <row r="7" spans="1:12">
      <c r="A7" t="s">
        <v>16</v>
      </c>
      <c r="B7" s="2" t="s">
        <v>20</v>
      </c>
      <c r="C7" s="4" t="s">
        <v>77</v>
      </c>
      <c r="D7" s="4" t="s">
        <v>33</v>
      </c>
      <c r="E7" s="25" t="s">
        <v>62</v>
      </c>
      <c r="F7">
        <v>36.32</v>
      </c>
      <c r="G7">
        <f t="shared" si="0"/>
        <v>12.499999999999998</v>
      </c>
      <c r="H7">
        <f t="shared" si="3"/>
        <v>9</v>
      </c>
      <c r="I7">
        <f t="shared" si="4"/>
        <v>2.4999999999999982</v>
      </c>
      <c r="J7">
        <f t="shared" si="1"/>
        <v>326.88</v>
      </c>
      <c r="K7">
        <f t="shared" si="5"/>
        <v>108.95999999999992</v>
      </c>
      <c r="L7">
        <f t="shared" si="2"/>
        <v>435.83999999999992</v>
      </c>
    </row>
    <row r="8" spans="1:12">
      <c r="A8" t="s">
        <v>16</v>
      </c>
      <c r="B8" s="2" t="s">
        <v>20</v>
      </c>
      <c r="C8" s="4" t="s">
        <v>78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3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16</v>
      </c>
      <c r="B15" s="8">
        <f>SUM(J2:J13)</f>
        <v>1961.2800000000002</v>
      </c>
      <c r="C15" s="8">
        <f>SUM(K2:K13)</f>
        <v>653.75999999999954</v>
      </c>
      <c r="D15" s="8">
        <f>SUM(L2:L13)</f>
        <v>2615.04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Christian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1961.2800000000002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653.75999999999954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2615.04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2615.04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I6" sqref="I6"/>
    </sheetView>
  </sheetViews>
  <sheetFormatPr defaultColWidth="14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20</v>
      </c>
      <c r="C2" s="4" t="s">
        <v>70</v>
      </c>
      <c r="D2" s="25" t="s">
        <v>33</v>
      </c>
      <c r="E2" s="25" t="s">
        <v>62</v>
      </c>
      <c r="F2">
        <v>33.33</v>
      </c>
      <c r="G2">
        <f t="shared" ref="G2:G8" si="0">(E2-D2)*24</f>
        <v>12.499999999999998</v>
      </c>
      <c r="H2">
        <f>MIN(G2,9)</f>
        <v>9</v>
      </c>
      <c r="I2">
        <f>MAX(G2-9,0) - 1</f>
        <v>2.4999999999999982</v>
      </c>
      <c r="J2">
        <f t="shared" ref="J2:J8" si="1">H2*F2</f>
        <v>299.96999999999997</v>
      </c>
      <c r="K2">
        <f t="shared" ref="K2:K8" si="2">I2*F2*1.2</f>
        <v>99.98999999999991</v>
      </c>
      <c r="L2">
        <f t="shared" ref="L2:L8" si="3">J2+K2</f>
        <v>399.95999999999987</v>
      </c>
    </row>
    <row r="3" spans="1:12">
      <c r="A3" t="s">
        <v>15</v>
      </c>
      <c r="B3" s="2" t="s">
        <v>20</v>
      </c>
      <c r="C3" s="4" t="s">
        <v>72</v>
      </c>
      <c r="D3" s="25" t="s">
        <v>33</v>
      </c>
      <c r="E3" s="25" t="s">
        <v>62</v>
      </c>
      <c r="F3">
        <v>33.33</v>
      </c>
      <c r="G3">
        <f t="shared" si="0"/>
        <v>12.499999999999998</v>
      </c>
      <c r="H3">
        <f t="shared" ref="H3:H8" si="4">MIN(G3,9)</f>
        <v>9</v>
      </c>
      <c r="I3">
        <f t="shared" ref="I3:I6" si="5">MAX(G3-9,0) - 1</f>
        <v>2.4999999999999982</v>
      </c>
      <c r="J3">
        <f t="shared" si="1"/>
        <v>299.96999999999997</v>
      </c>
      <c r="K3">
        <f t="shared" si="2"/>
        <v>99.98999999999991</v>
      </c>
      <c r="L3">
        <f t="shared" si="3"/>
        <v>399.95999999999987</v>
      </c>
    </row>
    <row r="4" spans="1:12">
      <c r="A4" t="s">
        <v>15</v>
      </c>
      <c r="B4" s="2" t="s">
        <v>20</v>
      </c>
      <c r="C4" s="4" t="s">
        <v>74</v>
      </c>
      <c r="D4" s="25" t="s">
        <v>34</v>
      </c>
      <c r="E4" s="25" t="s">
        <v>34</v>
      </c>
      <c r="F4">
        <v>33.33</v>
      </c>
      <c r="G4">
        <f t="shared" si="0"/>
        <v>0</v>
      </c>
      <c r="H4">
        <f t="shared" si="4"/>
        <v>0</v>
      </c>
      <c r="I4"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20</v>
      </c>
      <c r="C5" s="4" t="s">
        <v>75</v>
      </c>
      <c r="D5" s="25" t="s">
        <v>33</v>
      </c>
      <c r="E5" s="25" t="s">
        <v>62</v>
      </c>
      <c r="F5">
        <v>33.33</v>
      </c>
      <c r="G5">
        <f t="shared" si="0"/>
        <v>12.499999999999998</v>
      </c>
      <c r="H5">
        <f t="shared" si="4"/>
        <v>9</v>
      </c>
      <c r="I5">
        <f t="shared" si="5"/>
        <v>2.4999999999999982</v>
      </c>
      <c r="J5">
        <f t="shared" si="1"/>
        <v>299.96999999999997</v>
      </c>
      <c r="K5">
        <f t="shared" si="2"/>
        <v>99.98999999999991</v>
      </c>
      <c r="L5">
        <f t="shared" si="3"/>
        <v>399.95999999999987</v>
      </c>
    </row>
    <row r="6" spans="1:12">
      <c r="A6" t="s">
        <v>15</v>
      </c>
      <c r="B6" s="2" t="s">
        <v>20</v>
      </c>
      <c r="C6" s="4" t="s">
        <v>76</v>
      </c>
      <c r="D6" s="25" t="s">
        <v>33</v>
      </c>
      <c r="E6" s="25" t="s">
        <v>62</v>
      </c>
      <c r="F6">
        <v>33.33</v>
      </c>
      <c r="G6">
        <f t="shared" si="0"/>
        <v>12.499999999999998</v>
      </c>
      <c r="H6">
        <f t="shared" si="4"/>
        <v>9</v>
      </c>
      <c r="I6">
        <f t="shared" si="5"/>
        <v>2.4999999999999982</v>
      </c>
      <c r="J6">
        <f t="shared" si="1"/>
        <v>299.96999999999997</v>
      </c>
      <c r="K6">
        <f t="shared" si="2"/>
        <v>99.98999999999991</v>
      </c>
      <c r="L6">
        <f t="shared" si="3"/>
        <v>399.95999999999987</v>
      </c>
    </row>
    <row r="7" spans="1:12">
      <c r="A7" t="s">
        <v>15</v>
      </c>
      <c r="B7" s="2" t="s">
        <v>20</v>
      </c>
      <c r="C7" s="4" t="s">
        <v>77</v>
      </c>
      <c r="D7" s="25" t="s">
        <v>34</v>
      </c>
      <c r="E7" s="25" t="s">
        <v>34</v>
      </c>
      <c r="F7">
        <v>33.33</v>
      </c>
      <c r="G7">
        <f t="shared" si="0"/>
        <v>0</v>
      </c>
      <c r="H7">
        <f t="shared" si="4"/>
        <v>0</v>
      </c>
      <c r="I7"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15</v>
      </c>
      <c r="B8" s="2" t="s">
        <v>20</v>
      </c>
      <c r="C8" s="4" t="s">
        <v>78</v>
      </c>
      <c r="D8" s="25" t="s">
        <v>34</v>
      </c>
      <c r="E8" s="25" t="s">
        <v>34</v>
      </c>
      <c r="F8">
        <v>33.33</v>
      </c>
      <c r="G8">
        <f t="shared" si="0"/>
        <v>0</v>
      </c>
      <c r="H8">
        <f t="shared" si="4"/>
        <v>0</v>
      </c>
      <c r="I8"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15</v>
      </c>
      <c r="B15" s="8">
        <f>SUM(J2:J13)</f>
        <v>1199.8799999999999</v>
      </c>
      <c r="C15" s="8">
        <f>SUM(K2:K13)</f>
        <v>399.95999999999964</v>
      </c>
      <c r="D15" s="8">
        <f>SUM(L2:L13)</f>
        <v>1599.8399999999995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29" t="s">
        <v>42</v>
      </c>
      <c r="B23" s="29"/>
      <c r="C23" s="15"/>
      <c r="D23" s="9"/>
      <c r="G23" s="24"/>
      <c r="H23" s="4"/>
      <c r="I23" s="5"/>
      <c r="J23" s="5"/>
    </row>
    <row r="24" spans="1:11">
      <c r="A24" s="10" t="s">
        <v>43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44</v>
      </c>
      <c r="B25" s="11" t="s">
        <v>59</v>
      </c>
      <c r="C25" s="16"/>
      <c r="G25" s="24"/>
      <c r="H25" s="4"/>
      <c r="I25" s="5"/>
      <c r="J25" s="5"/>
    </row>
    <row r="26" spans="1:11">
      <c r="A26" s="10" t="s">
        <v>45</v>
      </c>
      <c r="B26" s="12">
        <f>C8+1</f>
        <v>46055</v>
      </c>
      <c r="C26" s="16"/>
      <c r="G26" s="24"/>
      <c r="H26" s="4"/>
      <c r="I26" s="26"/>
      <c r="J26" s="26"/>
    </row>
    <row r="27" spans="1:11">
      <c r="A27" s="10" t="s">
        <v>53</v>
      </c>
      <c r="B27" s="10" t="s">
        <v>82</v>
      </c>
      <c r="C27" s="16"/>
      <c r="G27" s="24"/>
      <c r="H27" s="4"/>
      <c r="I27" s="5"/>
      <c r="J27" s="5"/>
    </row>
    <row r="28" spans="1:11">
      <c r="A28" s="10"/>
      <c r="B28" s="10"/>
      <c r="C28" s="16"/>
    </row>
    <row r="29" spans="1:11">
      <c r="A29" s="13" t="s">
        <v>56</v>
      </c>
      <c r="B29" s="10"/>
      <c r="C29" s="17"/>
    </row>
    <row r="30" spans="1:11">
      <c r="A30" s="10" t="s">
        <v>47</v>
      </c>
      <c r="B30" s="14">
        <f>B15</f>
        <v>1199.8799999999999</v>
      </c>
      <c r="C30" s="16"/>
    </row>
    <row r="31" spans="1:11">
      <c r="A31" s="10" t="s">
        <v>46</v>
      </c>
      <c r="B31" s="14">
        <v>0</v>
      </c>
      <c r="C31" s="16"/>
    </row>
    <row r="32" spans="1:11">
      <c r="A32" s="10" t="s">
        <v>6</v>
      </c>
      <c r="B32" s="14">
        <f>C15</f>
        <v>399.95999999999964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1599.8399999999995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1599.8399999999995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A16" sqref="A16"/>
    </sheetView>
  </sheetViews>
  <sheetFormatPr defaultColWidth="15.42578125" defaultRowHeight="15"/>
  <cols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 t="s">
        <v>21</v>
      </c>
      <c r="C2" s="4" t="s">
        <v>70</v>
      </c>
      <c r="D2" s="4" t="s">
        <v>31</v>
      </c>
      <c r="E2" s="25" t="s">
        <v>62</v>
      </c>
      <c r="F2">
        <v>27.77</v>
      </c>
      <c r="G2" s="27">
        <f t="shared" ref="G2:G8" si="0">(E2-D2)*24</f>
        <v>11</v>
      </c>
      <c r="H2" s="27">
        <f>MIN(G2,8)</f>
        <v>8</v>
      </c>
      <c r="I2" s="7">
        <f t="shared" ref="I2:I7" si="1">MAX(G2-9,0) - 1</f>
        <v>1</v>
      </c>
      <c r="J2" s="7">
        <f t="shared" ref="J2:J8" si="2">H2*F2</f>
        <v>222.16</v>
      </c>
      <c r="K2" s="7">
        <f t="shared" ref="K2:K8" si="3">I2*F2*1.2</f>
        <v>33.323999999999998</v>
      </c>
      <c r="L2" s="7">
        <f t="shared" ref="L2:L8" si="4">J2+K2</f>
        <v>255.48399999999998</v>
      </c>
    </row>
    <row r="3" spans="1:12">
      <c r="A3" t="s">
        <v>17</v>
      </c>
      <c r="B3" s="2" t="s">
        <v>21</v>
      </c>
      <c r="C3" s="4" t="s">
        <v>72</v>
      </c>
      <c r="D3" s="4" t="s">
        <v>31</v>
      </c>
      <c r="E3" s="25" t="s">
        <v>62</v>
      </c>
      <c r="F3">
        <v>27.77</v>
      </c>
      <c r="G3" s="27">
        <f t="shared" si="0"/>
        <v>11</v>
      </c>
      <c r="H3" s="27">
        <f t="shared" ref="H3:H6" si="5">MIN(G3,8)</f>
        <v>8</v>
      </c>
      <c r="I3" s="7">
        <f t="shared" si="1"/>
        <v>1</v>
      </c>
      <c r="J3" s="7">
        <f t="shared" si="2"/>
        <v>222.16</v>
      </c>
      <c r="K3" s="7">
        <f t="shared" si="3"/>
        <v>33.323999999999998</v>
      </c>
      <c r="L3" s="7">
        <f t="shared" si="4"/>
        <v>255.48399999999998</v>
      </c>
    </row>
    <row r="4" spans="1:12">
      <c r="A4" t="s">
        <v>17</v>
      </c>
      <c r="B4" s="2" t="s">
        <v>21</v>
      </c>
      <c r="C4" s="4" t="s">
        <v>74</v>
      </c>
      <c r="D4" s="4" t="s">
        <v>31</v>
      </c>
      <c r="E4" s="25" t="s">
        <v>62</v>
      </c>
      <c r="F4">
        <v>27.77</v>
      </c>
      <c r="G4" s="27">
        <f t="shared" si="0"/>
        <v>11</v>
      </c>
      <c r="H4" s="27">
        <f t="shared" si="5"/>
        <v>8</v>
      </c>
      <c r="I4" s="7">
        <f t="shared" si="1"/>
        <v>1</v>
      </c>
      <c r="J4" s="7">
        <f t="shared" si="2"/>
        <v>222.16</v>
      </c>
      <c r="K4" s="7">
        <f t="shared" si="3"/>
        <v>33.323999999999998</v>
      </c>
      <c r="L4" s="7">
        <f t="shared" si="4"/>
        <v>255.48399999999998</v>
      </c>
    </row>
    <row r="5" spans="1:12">
      <c r="A5" t="s">
        <v>17</v>
      </c>
      <c r="B5" s="2" t="s">
        <v>21</v>
      </c>
      <c r="C5" s="4" t="s">
        <v>75</v>
      </c>
      <c r="D5" s="25" t="s">
        <v>34</v>
      </c>
      <c r="E5" s="25" t="s">
        <v>34</v>
      </c>
      <c r="F5">
        <v>27.77</v>
      </c>
      <c r="G5" s="27">
        <f t="shared" si="0"/>
        <v>0</v>
      </c>
      <c r="H5" s="27">
        <f t="shared" si="5"/>
        <v>0</v>
      </c>
      <c r="I5" s="7">
        <v>0</v>
      </c>
      <c r="J5" s="7">
        <f t="shared" si="2"/>
        <v>0</v>
      </c>
      <c r="K5" s="7">
        <f t="shared" si="3"/>
        <v>0</v>
      </c>
      <c r="L5" s="7">
        <f t="shared" si="4"/>
        <v>0</v>
      </c>
    </row>
    <row r="6" spans="1:12">
      <c r="A6" t="s">
        <v>17</v>
      </c>
      <c r="B6" s="2" t="s">
        <v>21</v>
      </c>
      <c r="C6" s="4" t="s">
        <v>76</v>
      </c>
      <c r="D6" s="25" t="s">
        <v>79</v>
      </c>
      <c r="E6" s="25" t="s">
        <v>62</v>
      </c>
      <c r="F6">
        <v>27.77</v>
      </c>
      <c r="G6" s="27">
        <f t="shared" si="0"/>
        <v>10.1</v>
      </c>
      <c r="H6" s="27">
        <f t="shared" si="5"/>
        <v>8</v>
      </c>
      <c r="I6" s="7">
        <f t="shared" si="1"/>
        <v>9.9999999999999645E-2</v>
      </c>
      <c r="J6" s="7">
        <f t="shared" si="2"/>
        <v>222.16</v>
      </c>
      <c r="K6" s="7">
        <f t="shared" si="3"/>
        <v>3.3323999999999878</v>
      </c>
      <c r="L6" s="7">
        <f t="shared" si="4"/>
        <v>225.49239999999998</v>
      </c>
    </row>
    <row r="7" spans="1:12">
      <c r="A7" t="s">
        <v>17</v>
      </c>
      <c r="B7" s="2" t="s">
        <v>21</v>
      </c>
      <c r="C7" s="4" t="s">
        <v>77</v>
      </c>
      <c r="D7" s="4" t="s">
        <v>31</v>
      </c>
      <c r="E7" s="25" t="s">
        <v>62</v>
      </c>
      <c r="F7">
        <v>27.77</v>
      </c>
      <c r="G7" s="7">
        <f t="shared" si="0"/>
        <v>11</v>
      </c>
      <c r="H7" s="7">
        <f t="shared" ref="H7:H8" si="6">MIN(G7,9)</f>
        <v>9</v>
      </c>
      <c r="I7" s="7">
        <f t="shared" si="1"/>
        <v>1</v>
      </c>
      <c r="J7" s="7">
        <f t="shared" si="2"/>
        <v>249.93</v>
      </c>
      <c r="K7" s="7">
        <f t="shared" si="3"/>
        <v>33.323999999999998</v>
      </c>
      <c r="L7" s="7">
        <f t="shared" si="4"/>
        <v>283.25400000000002</v>
      </c>
    </row>
    <row r="8" spans="1:12">
      <c r="A8" t="s">
        <v>17</v>
      </c>
      <c r="B8" s="2" t="s">
        <v>21</v>
      </c>
      <c r="C8" s="4" t="s">
        <v>78</v>
      </c>
      <c r="D8" s="25" t="s">
        <v>34</v>
      </c>
      <c r="E8" s="25" t="s">
        <v>34</v>
      </c>
      <c r="F8">
        <v>27.77</v>
      </c>
      <c r="G8" s="7">
        <f t="shared" si="0"/>
        <v>0</v>
      </c>
      <c r="H8" s="7">
        <f t="shared" si="6"/>
        <v>0</v>
      </c>
      <c r="I8" s="7">
        <v>0</v>
      </c>
      <c r="J8" s="7">
        <f t="shared" si="2"/>
        <v>0</v>
      </c>
      <c r="K8" s="7">
        <f t="shared" si="3"/>
        <v>0</v>
      </c>
      <c r="L8" s="7">
        <f t="shared" si="4"/>
        <v>0</v>
      </c>
    </row>
    <row r="9" spans="1:12">
      <c r="C9" s="18"/>
      <c r="D9" s="19"/>
      <c r="E9" s="19"/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17</v>
      </c>
      <c r="B15" s="8">
        <f>SUM(J2:J13)</f>
        <v>1138.57</v>
      </c>
      <c r="C15" s="8">
        <f>SUM(K2:K13)</f>
        <v>136.6284</v>
      </c>
      <c r="D15" s="8">
        <f>SUM(L2:L13)</f>
        <v>1275.1984</v>
      </c>
    </row>
    <row r="23" spans="1:8" ht="21.6" customHeight="1">
      <c r="A23" s="29" t="s">
        <v>42</v>
      </c>
      <c r="B23" s="29"/>
      <c r="C23" s="15"/>
      <c r="D23" s="9"/>
    </row>
    <row r="24" spans="1:8">
      <c r="A24" s="10" t="s">
        <v>43</v>
      </c>
      <c r="B24" s="11" t="str">
        <f>A2</f>
        <v>Aldrin</v>
      </c>
      <c r="C24" s="16"/>
    </row>
    <row r="25" spans="1:8">
      <c r="A25" s="10" t="s">
        <v>44</v>
      </c>
      <c r="B25" s="11" t="s">
        <v>59</v>
      </c>
      <c r="C25" s="16"/>
    </row>
    <row r="26" spans="1:8">
      <c r="A26" s="10" t="s">
        <v>45</v>
      </c>
      <c r="B26" s="12">
        <f>C8+1</f>
        <v>46055</v>
      </c>
      <c r="C26" s="16"/>
    </row>
    <row r="27" spans="1:8">
      <c r="A27" s="10" t="s">
        <v>53</v>
      </c>
      <c r="B27" s="10" t="s">
        <v>82</v>
      </c>
      <c r="C27" s="16"/>
      <c r="H27">
        <v>1460.8871333333334</v>
      </c>
    </row>
    <row r="28" spans="1:8">
      <c r="A28" s="10"/>
      <c r="B28" s="10"/>
      <c r="C28" s="16"/>
      <c r="H28">
        <v>1168.9201333333333</v>
      </c>
    </row>
    <row r="29" spans="1:8">
      <c r="A29" s="13" t="s">
        <v>56</v>
      </c>
      <c r="B29" s="10"/>
      <c r="C29" s="17"/>
      <c r="H29">
        <f>H27-H28</f>
        <v>291.9670000000001</v>
      </c>
    </row>
    <row r="30" spans="1:8">
      <c r="A30" s="10" t="s">
        <v>47</v>
      </c>
      <c r="B30" s="14">
        <f>B15</f>
        <v>1138.57</v>
      </c>
      <c r="C30" s="16"/>
    </row>
    <row r="31" spans="1:8">
      <c r="A31" s="10" t="s">
        <v>46</v>
      </c>
      <c r="B31" s="14">
        <v>0</v>
      </c>
      <c r="C31" s="16"/>
    </row>
    <row r="32" spans="1:8">
      <c r="A32" s="10" t="s">
        <v>6</v>
      </c>
      <c r="B32" s="14">
        <f>C15</f>
        <v>136.6284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1275.1984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1275.1984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A16" sqref="A16"/>
    </sheetView>
  </sheetViews>
  <sheetFormatPr defaultColWidth="15.2851562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36</v>
      </c>
      <c r="B2" s="2" t="s">
        <v>21</v>
      </c>
      <c r="C2" s="4" t="s">
        <v>70</v>
      </c>
      <c r="D2" s="25" t="s">
        <v>64</v>
      </c>
      <c r="E2" s="5" t="s">
        <v>69</v>
      </c>
      <c r="F2">
        <v>27.77</v>
      </c>
      <c r="G2">
        <f t="shared" ref="G2:G8" si="0">(E2-D2)*24</f>
        <v>7.5000000000000018</v>
      </c>
      <c r="H2">
        <f>MIN(G2,9)</f>
        <v>7.5000000000000018</v>
      </c>
      <c r="I2">
        <v>0</v>
      </c>
      <c r="J2">
        <f t="shared" ref="J2:J8" si="1">H2*F2</f>
        <v>208.27500000000003</v>
      </c>
      <c r="K2">
        <f t="shared" ref="K2:K8" si="2">I2*F2*1.2</f>
        <v>0</v>
      </c>
      <c r="L2">
        <f t="shared" ref="L2:L8" si="3">J2+K2</f>
        <v>208.27500000000003</v>
      </c>
    </row>
    <row r="3" spans="1:12">
      <c r="A3" t="s">
        <v>36</v>
      </c>
      <c r="B3" s="2" t="s">
        <v>21</v>
      </c>
      <c r="C3" s="4" t="s">
        <v>72</v>
      </c>
      <c r="D3" s="25" t="s">
        <v>83</v>
      </c>
      <c r="E3" s="5" t="s">
        <v>63</v>
      </c>
      <c r="F3">
        <v>27.77</v>
      </c>
      <c r="G3">
        <f t="shared" si="0"/>
        <v>11.5</v>
      </c>
      <c r="H3">
        <f t="shared" ref="H3:H8" si="4">MIN(G3,9)</f>
        <v>9</v>
      </c>
      <c r="I3">
        <f t="shared" ref="I3:I6" si="5">MAX(G3-9,0) - 1</f>
        <v>1.5</v>
      </c>
      <c r="J3">
        <f t="shared" si="1"/>
        <v>249.93</v>
      </c>
      <c r="K3">
        <f t="shared" si="2"/>
        <v>49.985999999999997</v>
      </c>
      <c r="L3">
        <f t="shared" si="3"/>
        <v>299.916</v>
      </c>
    </row>
    <row r="4" spans="1:12">
      <c r="A4" t="s">
        <v>36</v>
      </c>
      <c r="B4" s="2" t="s">
        <v>21</v>
      </c>
      <c r="C4" s="4" t="s">
        <v>74</v>
      </c>
      <c r="D4" s="25" t="s">
        <v>83</v>
      </c>
      <c r="E4" s="5" t="s">
        <v>62</v>
      </c>
      <c r="F4">
        <v>27.77</v>
      </c>
      <c r="G4">
        <f t="shared" si="0"/>
        <v>12</v>
      </c>
      <c r="H4">
        <f t="shared" si="4"/>
        <v>9</v>
      </c>
      <c r="I4">
        <f t="shared" si="5"/>
        <v>2</v>
      </c>
      <c r="J4">
        <f t="shared" si="1"/>
        <v>249.93</v>
      </c>
      <c r="K4">
        <f t="shared" si="2"/>
        <v>66.647999999999996</v>
      </c>
      <c r="L4">
        <f t="shared" si="3"/>
        <v>316.57799999999997</v>
      </c>
    </row>
    <row r="5" spans="1:12">
      <c r="A5" t="s">
        <v>36</v>
      </c>
      <c r="B5" s="2" t="s">
        <v>21</v>
      </c>
      <c r="C5" s="4" t="s">
        <v>75</v>
      </c>
      <c r="D5" s="25" t="s">
        <v>83</v>
      </c>
      <c r="E5" s="5" t="s">
        <v>62</v>
      </c>
      <c r="F5">
        <v>27.77</v>
      </c>
      <c r="G5">
        <f t="shared" si="0"/>
        <v>12</v>
      </c>
      <c r="H5">
        <f t="shared" si="4"/>
        <v>9</v>
      </c>
      <c r="I5">
        <f t="shared" si="5"/>
        <v>2</v>
      </c>
      <c r="J5">
        <f t="shared" si="1"/>
        <v>249.93</v>
      </c>
      <c r="K5">
        <f t="shared" si="2"/>
        <v>66.647999999999996</v>
      </c>
      <c r="L5">
        <f t="shared" si="3"/>
        <v>316.57799999999997</v>
      </c>
    </row>
    <row r="6" spans="1:12">
      <c r="A6" t="s">
        <v>36</v>
      </c>
      <c r="B6" s="2" t="s">
        <v>21</v>
      </c>
      <c r="C6" s="4" t="s">
        <v>76</v>
      </c>
      <c r="D6" s="25" t="s">
        <v>31</v>
      </c>
      <c r="E6" s="25" t="s">
        <v>84</v>
      </c>
      <c r="F6">
        <v>27.77</v>
      </c>
      <c r="G6">
        <f t="shared" si="0"/>
        <v>10.366666666666665</v>
      </c>
      <c r="H6">
        <f t="shared" si="4"/>
        <v>9</v>
      </c>
      <c r="I6">
        <f t="shared" si="5"/>
        <v>0.36666666666666536</v>
      </c>
      <c r="J6">
        <f t="shared" si="1"/>
        <v>249.93</v>
      </c>
      <c r="K6">
        <f t="shared" si="2"/>
        <v>12.218799999999955</v>
      </c>
      <c r="L6">
        <f t="shared" si="3"/>
        <v>262.14879999999994</v>
      </c>
    </row>
    <row r="7" spans="1:12">
      <c r="A7" t="s">
        <v>36</v>
      </c>
      <c r="B7" s="2" t="s">
        <v>21</v>
      </c>
      <c r="C7" s="4" t="s">
        <v>77</v>
      </c>
      <c r="D7" s="25" t="s">
        <v>34</v>
      </c>
      <c r="E7" s="25" t="s">
        <v>34</v>
      </c>
      <c r="F7">
        <v>27.77</v>
      </c>
      <c r="G7">
        <f t="shared" si="0"/>
        <v>0</v>
      </c>
      <c r="H7">
        <f t="shared" si="4"/>
        <v>0</v>
      </c>
      <c r="I7"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36</v>
      </c>
      <c r="B8" s="2" t="s">
        <v>21</v>
      </c>
      <c r="C8" s="4" t="s">
        <v>78</v>
      </c>
      <c r="D8" s="25" t="s">
        <v>34</v>
      </c>
      <c r="E8" s="25" t="s">
        <v>34</v>
      </c>
      <c r="F8">
        <v>27.77</v>
      </c>
      <c r="G8">
        <f t="shared" si="0"/>
        <v>0</v>
      </c>
      <c r="H8">
        <f t="shared" si="4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36</v>
      </c>
      <c r="B15" s="8">
        <f>SUM(J2:J13)</f>
        <v>1207.9950000000001</v>
      </c>
      <c r="C15" s="8">
        <f>SUM(K2:K13)</f>
        <v>195.50079999999994</v>
      </c>
      <c r="D15" s="8">
        <f>SUM(L2:L13)</f>
        <v>1403.4957999999999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Mark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1207.9950000000001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195.50079999999994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1403.4957999999999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1403.4957999999999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workbookViewId="0">
      <selection activeCell="I2" sqref="I2"/>
    </sheetView>
  </sheetViews>
  <sheetFormatPr defaultColWidth="14.71093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65</v>
      </c>
      <c r="B2" s="2" t="s">
        <v>66</v>
      </c>
      <c r="C2" s="4" t="s">
        <v>70</v>
      </c>
      <c r="D2" s="25" t="s">
        <v>34</v>
      </c>
      <c r="E2" s="25" t="s">
        <v>34</v>
      </c>
      <c r="F2">
        <v>22.22</v>
      </c>
      <c r="G2" s="7">
        <f t="shared" ref="G2:G8" si="0">(E2-D2)*24</f>
        <v>0</v>
      </c>
      <c r="H2" s="7">
        <f>MIN(G2,9)</f>
        <v>0</v>
      </c>
      <c r="I2" s="7"/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65</v>
      </c>
      <c r="B3" s="2" t="s">
        <v>66</v>
      </c>
      <c r="C3" s="4" t="s">
        <v>72</v>
      </c>
      <c r="D3" s="25" t="s">
        <v>34</v>
      </c>
      <c r="E3" s="25" t="s">
        <v>34</v>
      </c>
      <c r="F3">
        <v>22.22</v>
      </c>
      <c r="G3" s="7">
        <f t="shared" si="0"/>
        <v>0</v>
      </c>
      <c r="H3" s="7">
        <f>MIN(G3,9)</f>
        <v>0</v>
      </c>
      <c r="I3" s="7"/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65</v>
      </c>
      <c r="B4" s="2" t="s">
        <v>66</v>
      </c>
      <c r="C4" s="4" t="s">
        <v>74</v>
      </c>
      <c r="D4" s="25" t="s">
        <v>67</v>
      </c>
      <c r="E4" s="25" t="s">
        <v>62</v>
      </c>
      <c r="F4">
        <v>22.22</v>
      </c>
      <c r="G4" s="7">
        <f t="shared" si="0"/>
        <v>3.9999999999999991</v>
      </c>
      <c r="H4" s="7">
        <f t="shared" ref="H4:H8" si="4">MIN(G4,9)</f>
        <v>3.9999999999999991</v>
      </c>
      <c r="I4" s="7"/>
      <c r="J4" s="7">
        <f t="shared" si="1"/>
        <v>88.879999999999981</v>
      </c>
      <c r="K4" s="7">
        <f t="shared" si="2"/>
        <v>0</v>
      </c>
      <c r="L4" s="7">
        <f t="shared" si="3"/>
        <v>88.879999999999981</v>
      </c>
    </row>
    <row r="5" spans="1:12">
      <c r="A5" t="s">
        <v>65</v>
      </c>
      <c r="B5" s="2" t="s">
        <v>66</v>
      </c>
      <c r="C5" s="4" t="s">
        <v>75</v>
      </c>
      <c r="D5" s="25" t="s">
        <v>34</v>
      </c>
      <c r="E5" s="25" t="s">
        <v>34</v>
      </c>
      <c r="F5">
        <v>22.22</v>
      </c>
      <c r="G5" s="7">
        <f t="shared" si="0"/>
        <v>0</v>
      </c>
      <c r="H5" s="7">
        <f t="shared" si="4"/>
        <v>0</v>
      </c>
      <c r="I5" s="7"/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65</v>
      </c>
      <c r="B6" s="2" t="s">
        <v>66</v>
      </c>
      <c r="C6" s="4" t="s">
        <v>76</v>
      </c>
      <c r="D6" s="25" t="s">
        <v>67</v>
      </c>
      <c r="E6" s="25" t="s">
        <v>58</v>
      </c>
      <c r="F6">
        <v>22.22</v>
      </c>
      <c r="G6" s="7">
        <f t="shared" si="0"/>
        <v>3</v>
      </c>
      <c r="H6" s="7">
        <f t="shared" si="4"/>
        <v>3</v>
      </c>
      <c r="I6" s="7"/>
      <c r="J6" s="7">
        <f t="shared" si="1"/>
        <v>66.66</v>
      </c>
      <c r="K6" s="7">
        <f t="shared" si="2"/>
        <v>0</v>
      </c>
      <c r="L6" s="7">
        <f t="shared" si="3"/>
        <v>66.66</v>
      </c>
    </row>
    <row r="7" spans="1:12">
      <c r="A7" t="s">
        <v>65</v>
      </c>
      <c r="B7" s="28" t="s">
        <v>68</v>
      </c>
      <c r="C7" s="4" t="s">
        <v>77</v>
      </c>
      <c r="D7" s="25" t="s">
        <v>80</v>
      </c>
      <c r="E7" s="25" t="s">
        <v>81</v>
      </c>
      <c r="F7">
        <v>22.22</v>
      </c>
      <c r="G7" s="7">
        <f t="shared" si="0"/>
        <v>7.5</v>
      </c>
      <c r="H7" s="7">
        <f t="shared" si="4"/>
        <v>7.5</v>
      </c>
      <c r="I7" s="7"/>
      <c r="J7" s="7">
        <f t="shared" si="1"/>
        <v>166.64999999999998</v>
      </c>
      <c r="K7" s="7">
        <f t="shared" si="2"/>
        <v>0</v>
      </c>
      <c r="L7" s="7">
        <f t="shared" si="3"/>
        <v>166.64999999999998</v>
      </c>
    </row>
    <row r="8" spans="1:12">
      <c r="A8" t="s">
        <v>65</v>
      </c>
      <c r="B8" s="28" t="s">
        <v>68</v>
      </c>
      <c r="C8" s="4" t="s">
        <v>78</v>
      </c>
      <c r="D8" s="25" t="s">
        <v>34</v>
      </c>
      <c r="E8" s="25" t="s">
        <v>34</v>
      </c>
      <c r="F8">
        <v>22.22</v>
      </c>
      <c r="G8" s="7">
        <f t="shared" si="0"/>
        <v>0</v>
      </c>
      <c r="H8" s="7">
        <f t="shared" si="4"/>
        <v>0</v>
      </c>
      <c r="I8" s="7"/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65</v>
      </c>
      <c r="B15" s="8">
        <f>SUM(J2:J13)</f>
        <v>322.18999999999994</v>
      </c>
      <c r="C15" s="8">
        <f>SUM(K2:K13)</f>
        <v>0</v>
      </c>
      <c r="D15" s="8">
        <f>SUM(L2:L13)</f>
        <v>322.18999999999994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Lenard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322.18999999999994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322.18999999999994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322.18999999999994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0"/>
  <sheetViews>
    <sheetView workbookViewId="0">
      <pane ySplit="1" topLeftCell="A2" activePane="bottomLeft" state="frozen"/>
      <selection pane="bottomLeft" activeCell="A16" sqref="A16"/>
    </sheetView>
  </sheetViews>
  <sheetFormatPr defaultColWidth="12.855468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20</v>
      </c>
      <c r="C2" s="4" t="s">
        <v>70</v>
      </c>
      <c r="D2" s="5" t="s">
        <v>33</v>
      </c>
      <c r="E2" s="5" t="s">
        <v>69</v>
      </c>
      <c r="F2">
        <v>34.18</v>
      </c>
      <c r="G2">
        <f t="shared" ref="G2:G8" si="0">(E2-D2)*24</f>
        <v>10</v>
      </c>
      <c r="H2">
        <f>MIN(G2,9)</f>
        <v>9</v>
      </c>
      <c r="I2">
        <f t="shared" ref="I2:I7" si="1">MAX(G2-9,0) - 1</f>
        <v>0</v>
      </c>
      <c r="J2">
        <f t="shared" ref="J2:J8" si="2">H2*F2</f>
        <v>307.62</v>
      </c>
      <c r="K2" s="7">
        <f t="shared" ref="K2" si="3">I2*F2*1.2</f>
        <v>0</v>
      </c>
      <c r="L2">
        <f t="shared" ref="L2:L8" si="4">J2+K2</f>
        <v>307.62</v>
      </c>
    </row>
    <row r="3" spans="1:12">
      <c r="A3" t="s">
        <v>10</v>
      </c>
      <c r="B3" s="2" t="s">
        <v>20</v>
      </c>
      <c r="C3" s="4" t="s">
        <v>72</v>
      </c>
      <c r="D3" s="5" t="s">
        <v>33</v>
      </c>
      <c r="E3" s="5" t="s">
        <v>63</v>
      </c>
      <c r="F3">
        <v>34.18</v>
      </c>
      <c r="G3">
        <f t="shared" si="0"/>
        <v>11.999999999999998</v>
      </c>
      <c r="H3">
        <f t="shared" ref="H3:H8" si="5">MIN(G3,9)</f>
        <v>9</v>
      </c>
      <c r="I3">
        <f t="shared" si="1"/>
        <v>1.9999999999999982</v>
      </c>
      <c r="J3">
        <f t="shared" si="2"/>
        <v>307.62</v>
      </c>
      <c r="K3">
        <f t="shared" ref="K3:K8" si="6">I3*F3*1.2</f>
        <v>82.031999999999925</v>
      </c>
      <c r="L3">
        <f t="shared" si="4"/>
        <v>389.65199999999993</v>
      </c>
    </row>
    <row r="4" spans="1:12">
      <c r="A4" t="s">
        <v>10</v>
      </c>
      <c r="B4" s="2" t="s">
        <v>20</v>
      </c>
      <c r="C4" s="4" t="s">
        <v>74</v>
      </c>
      <c r="D4" s="5" t="s">
        <v>33</v>
      </c>
      <c r="E4" s="5" t="s">
        <v>62</v>
      </c>
      <c r="F4">
        <v>34.18</v>
      </c>
      <c r="G4">
        <f t="shared" si="0"/>
        <v>12.499999999999998</v>
      </c>
      <c r="H4">
        <f t="shared" si="5"/>
        <v>9</v>
      </c>
      <c r="I4">
        <f t="shared" si="1"/>
        <v>2.4999999999999982</v>
      </c>
      <c r="J4">
        <f t="shared" si="2"/>
        <v>307.62</v>
      </c>
      <c r="K4">
        <f t="shared" si="6"/>
        <v>102.53999999999992</v>
      </c>
      <c r="L4">
        <f t="shared" si="4"/>
        <v>410.15999999999991</v>
      </c>
    </row>
    <row r="5" spans="1:12">
      <c r="A5" t="s">
        <v>10</v>
      </c>
      <c r="B5" s="2" t="s">
        <v>20</v>
      </c>
      <c r="C5" s="4" t="s">
        <v>75</v>
      </c>
      <c r="D5" s="5" t="s">
        <v>34</v>
      </c>
      <c r="E5" s="5" t="s">
        <v>34</v>
      </c>
      <c r="F5">
        <v>34.18</v>
      </c>
      <c r="G5">
        <f t="shared" si="0"/>
        <v>0</v>
      </c>
      <c r="H5">
        <f t="shared" si="5"/>
        <v>0</v>
      </c>
      <c r="J5">
        <f t="shared" si="2"/>
        <v>0</v>
      </c>
      <c r="K5">
        <f t="shared" si="6"/>
        <v>0</v>
      </c>
      <c r="L5">
        <f t="shared" si="4"/>
        <v>0</v>
      </c>
    </row>
    <row r="6" spans="1:12">
      <c r="A6" t="s">
        <v>10</v>
      </c>
      <c r="B6" s="2" t="s">
        <v>20</v>
      </c>
      <c r="C6" s="4" t="s">
        <v>76</v>
      </c>
      <c r="D6" s="5" t="s">
        <v>33</v>
      </c>
      <c r="E6" s="5" t="s">
        <v>58</v>
      </c>
      <c r="F6">
        <v>34.18</v>
      </c>
      <c r="G6">
        <f t="shared" si="0"/>
        <v>11.5</v>
      </c>
      <c r="H6">
        <f t="shared" si="5"/>
        <v>9</v>
      </c>
      <c r="I6">
        <f t="shared" si="1"/>
        <v>1.5</v>
      </c>
      <c r="J6">
        <f t="shared" si="2"/>
        <v>307.62</v>
      </c>
      <c r="K6">
        <f t="shared" si="6"/>
        <v>61.523999999999994</v>
      </c>
      <c r="L6">
        <f t="shared" si="4"/>
        <v>369.14400000000001</v>
      </c>
    </row>
    <row r="7" spans="1:12">
      <c r="A7" t="s">
        <v>10</v>
      </c>
      <c r="B7" s="2" t="s">
        <v>20</v>
      </c>
      <c r="C7" s="4" t="s">
        <v>77</v>
      </c>
      <c r="D7" s="5" t="s">
        <v>33</v>
      </c>
      <c r="E7" s="5" t="s">
        <v>58</v>
      </c>
      <c r="F7">
        <v>34.18</v>
      </c>
      <c r="G7">
        <f t="shared" si="0"/>
        <v>11.5</v>
      </c>
      <c r="H7">
        <f t="shared" si="5"/>
        <v>9</v>
      </c>
      <c r="I7">
        <f t="shared" si="1"/>
        <v>1.5</v>
      </c>
      <c r="J7">
        <f t="shared" si="2"/>
        <v>307.62</v>
      </c>
      <c r="K7">
        <f t="shared" si="6"/>
        <v>61.523999999999994</v>
      </c>
      <c r="L7">
        <f t="shared" si="4"/>
        <v>369.14400000000001</v>
      </c>
    </row>
    <row r="8" spans="1:12">
      <c r="A8" t="s">
        <v>10</v>
      </c>
      <c r="B8" s="2" t="s">
        <v>20</v>
      </c>
      <c r="C8" s="4" t="s">
        <v>78</v>
      </c>
      <c r="D8" s="5" t="s">
        <v>34</v>
      </c>
      <c r="E8" s="5" t="s">
        <v>34</v>
      </c>
      <c r="F8">
        <v>34.18</v>
      </c>
      <c r="G8">
        <f t="shared" si="0"/>
        <v>0</v>
      </c>
      <c r="H8">
        <f t="shared" si="5"/>
        <v>0</v>
      </c>
      <c r="J8">
        <f t="shared" si="2"/>
        <v>0</v>
      </c>
      <c r="K8">
        <f t="shared" si="6"/>
        <v>0</v>
      </c>
      <c r="L8">
        <f t="shared" si="4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10</v>
      </c>
      <c r="B15" s="8">
        <f>SUM(J2:J13)</f>
        <v>1538.1</v>
      </c>
      <c r="C15" s="8">
        <f>SUM(K2:K13)</f>
        <v>307.61999999999983</v>
      </c>
      <c r="D15" s="8">
        <f>SUM(L2:L13)</f>
        <v>1845.7199999999998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Chadiyah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82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1538.1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307.61999999999983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1845.7199999999998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1845.7199999999998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L26" sqref="L26"/>
    </sheetView>
  </sheetViews>
  <sheetFormatPr defaultColWidth="14.7109375" defaultRowHeight="15"/>
  <cols>
    <col min="1" max="1" width="15.140625" bestFit="1" customWidth="1"/>
    <col min="2" max="2" width="19.425781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41</v>
      </c>
      <c r="B2" s="2" t="s">
        <v>20</v>
      </c>
      <c r="C2" s="4" t="s">
        <v>24</v>
      </c>
      <c r="D2" s="5" t="s">
        <v>33</v>
      </c>
      <c r="E2" s="5" t="s">
        <v>32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41</v>
      </c>
      <c r="B3" s="2" t="s">
        <v>20</v>
      </c>
      <c r="C3" s="4" t="s">
        <v>25</v>
      </c>
      <c r="D3" s="5" t="s">
        <v>33</v>
      </c>
      <c r="E3" s="5" t="s">
        <v>32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41</v>
      </c>
      <c r="B4" s="2" t="s">
        <v>20</v>
      </c>
      <c r="C4" s="4" t="s">
        <v>26</v>
      </c>
      <c r="D4" s="5" t="s">
        <v>33</v>
      </c>
      <c r="E4" s="5" t="s">
        <v>32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41</v>
      </c>
      <c r="B5" s="2" t="s">
        <v>20</v>
      </c>
      <c r="C5" s="4" t="s">
        <v>27</v>
      </c>
      <c r="D5" s="5" t="s">
        <v>33</v>
      </c>
      <c r="E5" s="5" t="s">
        <v>32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41</v>
      </c>
      <c r="B6" s="2" t="s">
        <v>20</v>
      </c>
      <c r="C6" s="4" t="s">
        <v>28</v>
      </c>
      <c r="D6" s="5" t="s">
        <v>33</v>
      </c>
      <c r="E6" s="5" t="s">
        <v>32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41</v>
      </c>
      <c r="B7" s="2" t="s">
        <v>20</v>
      </c>
      <c r="C7" s="4" t="s">
        <v>29</v>
      </c>
      <c r="D7" s="5" t="s">
        <v>33</v>
      </c>
      <c r="E7" s="5" t="s">
        <v>32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41</v>
      </c>
      <c r="B8" s="2" t="s">
        <v>20</v>
      </c>
      <c r="C8" s="4" t="s">
        <v>30</v>
      </c>
      <c r="D8" s="5" t="s">
        <v>33</v>
      </c>
      <c r="E8" s="5" t="s">
        <v>32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Name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v>46041</v>
      </c>
      <c r="C26" s="16"/>
    </row>
    <row r="27" spans="1:4">
      <c r="A27" s="10" t="s">
        <v>53</v>
      </c>
      <c r="B27" s="10" t="s">
        <v>54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2692.2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3499.86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28515625" defaultRowHeight="15"/>
  <cols>
    <col min="3" max="3" width="15.5703125" customWidth="1"/>
  </cols>
  <sheetData>
    <row r="1" spans="1:1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28515625" defaultRowHeight="15"/>
  <sheetData>
    <row r="1" spans="1:12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</v>
      </c>
      <c r="B2" s="2">
        <v>46027</v>
      </c>
      <c r="C2" s="2"/>
      <c r="D2" s="1"/>
      <c r="E2" s="1"/>
    </row>
    <row r="3" spans="1:12">
      <c r="A3" t="s">
        <v>18</v>
      </c>
      <c r="B3" s="2">
        <v>46028</v>
      </c>
      <c r="C3" s="2"/>
      <c r="D3" s="1"/>
      <c r="E3" s="1"/>
    </row>
    <row r="4" spans="1:12">
      <c r="A4" t="s">
        <v>18</v>
      </c>
      <c r="B4" s="2">
        <v>46029</v>
      </c>
      <c r="C4" s="2"/>
      <c r="D4" s="1"/>
      <c r="E4" s="1"/>
    </row>
    <row r="5" spans="1:12">
      <c r="A5" t="s">
        <v>18</v>
      </c>
      <c r="B5" s="2">
        <v>46030</v>
      </c>
      <c r="C5" s="2"/>
      <c r="D5" s="1"/>
      <c r="E5" s="1"/>
    </row>
    <row r="6" spans="1:12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Payslip</vt:lpstr>
      <vt:lpstr>Summary</vt:lpstr>
      <vt:lpstr>Rhea Mae</vt:lpstr>
      <vt:lpstr>Jay Anne</vt:lpstr>
      <vt:lpstr>Kris</vt:lpstr>
      <vt:lpstr>Christian</vt:lpstr>
      <vt:lpstr>Cherry</vt:lpstr>
      <vt:lpstr>Aldrin</vt:lpstr>
      <vt:lpstr>Mark</vt:lpstr>
      <vt:lpstr>Lenard</vt:lpstr>
      <vt:lpstr>Chadiyah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2026-02-02T11:30:58Z</cp:lastPrinted>
  <dcterms:created xsi:type="dcterms:W3CDTF">2025-12-15T10:27:30Z</dcterms:created>
  <dcterms:modified xsi:type="dcterms:W3CDTF">2026-02-02T14:23:31Z</dcterms:modified>
</cp:coreProperties>
</file>