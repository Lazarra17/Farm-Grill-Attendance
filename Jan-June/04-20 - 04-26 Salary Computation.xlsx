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Salary\"/>
    </mc:Choice>
  </mc:AlternateContent>
  <xr:revisionPtr revIDLastSave="0" documentId="13_ncr:1_{84F323E3-B282-447F-9B66-9FCEBA944348}" xr6:coauthVersionLast="47" xr6:coauthVersionMax="47" xr10:uidLastSave="{00000000-0000-0000-0000-000000000000}"/>
  <bookViews>
    <workbookView xWindow="28680" yWindow="-120" windowWidth="29040" windowHeight="15720" xr2:uid="{00BF821E-BFB9-4523-9564-A672F7161683}"/>
  </bookViews>
  <sheets>
    <sheet name="Payslip" sheetId="15" r:id="rId1"/>
    <sheet name="Summary" sheetId="17" r:id="rId2"/>
    <sheet name="Micky" sheetId="19" r:id="rId3"/>
    <sheet name="Kent" sheetId="4" r:id="rId4"/>
    <sheet name="Jay Anne" sheetId="3" r:id="rId5"/>
    <sheet name="Kris" sheetId="2" r:id="rId6"/>
    <sheet name="Cherry" sheetId="5" r:id="rId7"/>
    <sheet name="Pepito" sheetId="6" r:id="rId8"/>
    <sheet name="Mark" sheetId="11" r:id="rId9"/>
    <sheet name="Kim" sheetId="7" r:id="rId10"/>
    <sheet name="David" sheetId="18" r:id="rId11"/>
    <sheet name="Chardiya" sheetId="1" r:id="rId12"/>
    <sheet name="Lenard" sheetId="16" r:id="rId13"/>
    <sheet name="Template" sheetId="13" r:id="rId14"/>
    <sheet name="Rhoda" sheetId="9" state="hidden" r:id="rId15"/>
    <sheet name="Kenneth" sheetId="8" state="hidden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4" i="15" l="1"/>
  <c r="E65" i="15"/>
  <c r="E66" i="15"/>
  <c r="E67" i="15"/>
  <c r="E69" i="15"/>
  <c r="E70" i="15"/>
  <c r="E71" i="15"/>
  <c r="E72" i="15"/>
  <c r="E75" i="15"/>
  <c r="E76" i="15"/>
  <c r="E77" i="15"/>
  <c r="E79" i="15"/>
  <c r="E63" i="15"/>
  <c r="I8" i="11"/>
  <c r="G8" i="11"/>
  <c r="H8" i="11" s="1"/>
  <c r="G7" i="11"/>
  <c r="I7" i="11" s="1"/>
  <c r="G6" i="11"/>
  <c r="I6" i="11" s="1"/>
  <c r="G5" i="11"/>
  <c r="I5" i="11" s="1"/>
  <c r="G4" i="11"/>
  <c r="I4" i="11" s="1"/>
  <c r="G3" i="11"/>
  <c r="I3" i="11" s="1"/>
  <c r="I2" i="11"/>
  <c r="H2" i="11"/>
  <c r="G2" i="11"/>
  <c r="H8" i="6"/>
  <c r="G8" i="6"/>
  <c r="I8" i="6" s="1"/>
  <c r="I7" i="6"/>
  <c r="G7" i="6"/>
  <c r="H7" i="6" s="1"/>
  <c r="G6" i="6"/>
  <c r="I6" i="6" s="1"/>
  <c r="G5" i="6"/>
  <c r="I5" i="6" s="1"/>
  <c r="G4" i="6"/>
  <c r="H4" i="6" s="1"/>
  <c r="G3" i="6"/>
  <c r="H3" i="6" s="1"/>
  <c r="I2" i="6"/>
  <c r="H2" i="6"/>
  <c r="G2" i="6"/>
  <c r="G8" i="5"/>
  <c r="I8" i="5" s="1"/>
  <c r="G7" i="5"/>
  <c r="I7" i="5" s="1"/>
  <c r="G6" i="5"/>
  <c r="I6" i="5" s="1"/>
  <c r="G5" i="5"/>
  <c r="I5" i="5" s="1"/>
  <c r="I4" i="5"/>
  <c r="H4" i="5"/>
  <c r="G4" i="5"/>
  <c r="G3" i="5"/>
  <c r="H3" i="5" s="1"/>
  <c r="G2" i="5"/>
  <c r="I2" i="5" s="1"/>
  <c r="G8" i="2"/>
  <c r="I8" i="2" s="1"/>
  <c r="G7" i="2"/>
  <c r="I7" i="2" s="1"/>
  <c r="G6" i="2"/>
  <c r="I6" i="2" s="1"/>
  <c r="G5" i="2"/>
  <c r="I5" i="2" s="1"/>
  <c r="I4" i="2"/>
  <c r="H4" i="2"/>
  <c r="G4" i="2"/>
  <c r="G3" i="2"/>
  <c r="I3" i="2" s="1"/>
  <c r="G2" i="2"/>
  <c r="I2" i="2" s="1"/>
  <c r="H8" i="3"/>
  <c r="G8" i="3"/>
  <c r="I8" i="3" s="1"/>
  <c r="G7" i="3"/>
  <c r="I7" i="3" s="1"/>
  <c r="G6" i="3"/>
  <c r="I6" i="3" s="1"/>
  <c r="G5" i="3"/>
  <c r="H5" i="3" s="1"/>
  <c r="I4" i="3"/>
  <c r="H4" i="3"/>
  <c r="G4" i="3"/>
  <c r="I3" i="3"/>
  <c r="G3" i="3"/>
  <c r="H3" i="3" s="1"/>
  <c r="I2" i="3"/>
  <c r="H2" i="3"/>
  <c r="G2" i="3"/>
  <c r="G8" i="4"/>
  <c r="I8" i="4" s="1"/>
  <c r="G7" i="4"/>
  <c r="I7" i="4" s="1"/>
  <c r="G6" i="4"/>
  <c r="I6" i="4" s="1"/>
  <c r="G5" i="4"/>
  <c r="I5" i="4" s="1"/>
  <c r="I4" i="4"/>
  <c r="H4" i="4"/>
  <c r="G4" i="4"/>
  <c r="G3" i="4"/>
  <c r="I3" i="4" s="1"/>
  <c r="G2" i="4"/>
  <c r="I2" i="4" s="1"/>
  <c r="I8" i="19"/>
  <c r="I7" i="19"/>
  <c r="H8" i="19"/>
  <c r="H7" i="19"/>
  <c r="G3" i="19"/>
  <c r="I3" i="19" s="1"/>
  <c r="K3" i="19" s="1"/>
  <c r="G4" i="19"/>
  <c r="I4" i="19" s="1"/>
  <c r="K4" i="19" s="1"/>
  <c r="G5" i="19"/>
  <c r="H5" i="19" s="1"/>
  <c r="J5" i="19" s="1"/>
  <c r="G6" i="19"/>
  <c r="I6" i="19" s="1"/>
  <c r="K6" i="19" s="1"/>
  <c r="G7" i="19"/>
  <c r="J7" i="19" s="1"/>
  <c r="G8" i="19"/>
  <c r="J8" i="19" s="1"/>
  <c r="B28" i="19"/>
  <c r="B27" i="19"/>
  <c r="B26" i="19"/>
  <c r="B24" i="19"/>
  <c r="G2" i="19"/>
  <c r="I2" i="19" s="1"/>
  <c r="K2" i="19" s="1"/>
  <c r="K8" i="1"/>
  <c r="K7" i="1"/>
  <c r="E85" i="15"/>
  <c r="D85" i="15"/>
  <c r="E84" i="15"/>
  <c r="E90" i="15"/>
  <c r="E92" i="15"/>
  <c r="E96" i="15"/>
  <c r="E97" i="15"/>
  <c r="E83" i="15"/>
  <c r="D84" i="15"/>
  <c r="D86" i="15"/>
  <c r="D87" i="15"/>
  <c r="D88" i="15"/>
  <c r="D89" i="15"/>
  <c r="D90" i="15"/>
  <c r="D91" i="15"/>
  <c r="D92" i="15"/>
  <c r="D93" i="15"/>
  <c r="D95" i="15"/>
  <c r="D96" i="15"/>
  <c r="D97" i="15"/>
  <c r="D99" i="15"/>
  <c r="D83" i="15"/>
  <c r="B28" i="18"/>
  <c r="E87" i="15" s="1"/>
  <c r="B27" i="18"/>
  <c r="E86" i="15" s="1"/>
  <c r="B26" i="18"/>
  <c r="B24" i="18"/>
  <c r="B27" i="16"/>
  <c r="B86" i="15" s="1"/>
  <c r="B27" i="1"/>
  <c r="B27" i="11"/>
  <c r="B66" i="15" s="1"/>
  <c r="B27" i="7"/>
  <c r="B27" i="5"/>
  <c r="B46" i="15" s="1"/>
  <c r="B27" i="6"/>
  <c r="E25" i="15" s="1"/>
  <c r="B27" i="2"/>
  <c r="B25" i="15" s="1"/>
  <c r="B27" i="3"/>
  <c r="E5" i="15" s="1"/>
  <c r="A87" i="15"/>
  <c r="D67" i="15"/>
  <c r="A67" i="15"/>
  <c r="D47" i="15"/>
  <c r="A47" i="15"/>
  <c r="D26" i="15"/>
  <c r="A26" i="15"/>
  <c r="D6" i="15"/>
  <c r="A6" i="15"/>
  <c r="B28" i="1"/>
  <c r="B28" i="16"/>
  <c r="B87" i="15" s="1"/>
  <c r="B28" i="11"/>
  <c r="B67" i="15" s="1"/>
  <c r="B28" i="7"/>
  <c r="E47" i="15" s="1"/>
  <c r="B28" i="5"/>
  <c r="B47" i="15" s="1"/>
  <c r="B28" i="6"/>
  <c r="E26" i="15" s="1"/>
  <c r="B28" i="2"/>
  <c r="B26" i="15" s="1"/>
  <c r="B28" i="3"/>
  <c r="E6" i="15" s="1"/>
  <c r="B28" i="4"/>
  <c r="B6" i="15" s="1"/>
  <c r="B26" i="4"/>
  <c r="B4" i="15" s="1"/>
  <c r="B26" i="11"/>
  <c r="B65" i="15" s="1"/>
  <c r="B26" i="1"/>
  <c r="B26" i="16"/>
  <c r="B85" i="15" s="1"/>
  <c r="B26" i="7"/>
  <c r="E45" i="15" s="1"/>
  <c r="B26" i="5"/>
  <c r="B45" i="15" s="1"/>
  <c r="B26" i="6"/>
  <c r="E24" i="15" s="1"/>
  <c r="B26" i="2"/>
  <c r="B24" i="15" s="1"/>
  <c r="B26" i="3"/>
  <c r="E4" i="15" s="1"/>
  <c r="B84" i="15"/>
  <c r="B90" i="15"/>
  <c r="B92" i="15"/>
  <c r="B96" i="15"/>
  <c r="B97" i="15"/>
  <c r="A84" i="15"/>
  <c r="A85" i="15"/>
  <c r="A86" i="15"/>
  <c r="A88" i="15"/>
  <c r="A89" i="15"/>
  <c r="A90" i="15"/>
  <c r="A91" i="15"/>
  <c r="A92" i="15"/>
  <c r="A95" i="15"/>
  <c r="A96" i="15"/>
  <c r="A97" i="15"/>
  <c r="A99" i="15"/>
  <c r="A83" i="15"/>
  <c r="B24" i="16"/>
  <c r="B83" i="15" s="1"/>
  <c r="G8" i="16"/>
  <c r="I8" i="16" s="1"/>
  <c r="G7" i="16"/>
  <c r="I7" i="16" s="1"/>
  <c r="G6" i="16"/>
  <c r="I6" i="16" s="1"/>
  <c r="G5" i="16"/>
  <c r="H5" i="16" s="1"/>
  <c r="G4" i="16"/>
  <c r="I4" i="16" s="1"/>
  <c r="G3" i="16"/>
  <c r="I3" i="16" s="1"/>
  <c r="G2" i="16"/>
  <c r="H2" i="16" s="1"/>
  <c r="D64" i="15"/>
  <c r="D65" i="15"/>
  <c r="D66" i="15"/>
  <c r="D68" i="15"/>
  <c r="D69" i="15"/>
  <c r="D70" i="15"/>
  <c r="D71" i="15"/>
  <c r="D72" i="15"/>
  <c r="D75" i="15"/>
  <c r="D76" i="15"/>
  <c r="D77" i="15"/>
  <c r="D79" i="15"/>
  <c r="D63" i="15"/>
  <c r="A64" i="15"/>
  <c r="B64" i="15"/>
  <c r="A65" i="15"/>
  <c r="A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D46" i="15"/>
  <c r="E46" i="15"/>
  <c r="D48" i="15"/>
  <c r="D49" i="15"/>
  <c r="D50" i="15"/>
  <c r="E50" i="15"/>
  <c r="D51" i="15"/>
  <c r="D52" i="15"/>
  <c r="E52" i="15"/>
  <c r="D55" i="15"/>
  <c r="D56" i="15"/>
  <c r="E56" i="15"/>
  <c r="D57" i="15"/>
  <c r="E57" i="15"/>
  <c r="D59" i="15"/>
  <c r="D43" i="15"/>
  <c r="A59" i="15"/>
  <c r="A55" i="15"/>
  <c r="A56" i="15"/>
  <c r="B56" i="15"/>
  <c r="A57" i="15"/>
  <c r="B57" i="15"/>
  <c r="A44" i="15"/>
  <c r="B44" i="15"/>
  <c r="A45" i="15"/>
  <c r="A46" i="15"/>
  <c r="A48" i="15"/>
  <c r="A49" i="15"/>
  <c r="A50" i="15"/>
  <c r="B50" i="15"/>
  <c r="A51" i="15"/>
  <c r="A52" i="15"/>
  <c r="B52" i="15"/>
  <c r="A43" i="15"/>
  <c r="D38" i="15"/>
  <c r="D23" i="15"/>
  <c r="E23" i="15"/>
  <c r="D24" i="15"/>
  <c r="D25" i="15"/>
  <c r="D27" i="15"/>
  <c r="D28" i="15"/>
  <c r="D29" i="15"/>
  <c r="E29" i="15"/>
  <c r="D30" i="15"/>
  <c r="D31" i="15"/>
  <c r="E31" i="15"/>
  <c r="D34" i="15"/>
  <c r="D35" i="15"/>
  <c r="E35" i="15"/>
  <c r="D36" i="15"/>
  <c r="E36" i="15"/>
  <c r="D22" i="15"/>
  <c r="A23" i="15"/>
  <c r="B23" i="15"/>
  <c r="A24" i="15"/>
  <c r="A25" i="15"/>
  <c r="A27" i="15"/>
  <c r="A28" i="15"/>
  <c r="A29" i="15"/>
  <c r="B29" i="15"/>
  <c r="A30" i="15"/>
  <c r="A31" i="15"/>
  <c r="B31" i="15"/>
  <c r="A34" i="15"/>
  <c r="A35" i="15"/>
  <c r="B35" i="15"/>
  <c r="A36" i="15"/>
  <c r="B36" i="15"/>
  <c r="A38" i="15"/>
  <c r="B22" i="15"/>
  <c r="A22" i="15"/>
  <c r="D3" i="15"/>
  <c r="E3" i="15"/>
  <c r="D4" i="15"/>
  <c r="D5" i="15"/>
  <c r="D7" i="15"/>
  <c r="D8" i="15"/>
  <c r="D9" i="15"/>
  <c r="E9" i="15"/>
  <c r="D10" i="15"/>
  <c r="D11" i="15"/>
  <c r="E11" i="15"/>
  <c r="D14" i="15"/>
  <c r="D15" i="15"/>
  <c r="E15" i="15"/>
  <c r="D16" i="15"/>
  <c r="E16" i="15"/>
  <c r="D18" i="15"/>
  <c r="D2" i="15"/>
  <c r="A3" i="15"/>
  <c r="B3" i="15"/>
  <c r="A4" i="15"/>
  <c r="A5" i="15"/>
  <c r="B5" i="15"/>
  <c r="A7" i="15"/>
  <c r="A8" i="15"/>
  <c r="A9" i="15"/>
  <c r="B9" i="15"/>
  <c r="A10" i="15"/>
  <c r="A11" i="15"/>
  <c r="B11" i="15"/>
  <c r="A14" i="15"/>
  <c r="A15" i="15"/>
  <c r="B15" i="15"/>
  <c r="A16" i="15"/>
  <c r="B16" i="15"/>
  <c r="A18" i="15"/>
  <c r="B2" i="15"/>
  <c r="A2" i="15"/>
  <c r="H6" i="11" l="1"/>
  <c r="H4" i="11"/>
  <c r="H5" i="11"/>
  <c r="H7" i="11"/>
  <c r="H3" i="11"/>
  <c r="H5" i="6"/>
  <c r="I4" i="6"/>
  <c r="H6" i="6"/>
  <c r="I3" i="6"/>
  <c r="H6" i="5"/>
  <c r="H2" i="5"/>
  <c r="I3" i="5"/>
  <c r="H8" i="5"/>
  <c r="H5" i="5"/>
  <c r="H7" i="5"/>
  <c r="H5" i="2"/>
  <c r="H6" i="2"/>
  <c r="H2" i="2"/>
  <c r="H3" i="2"/>
  <c r="H8" i="2"/>
  <c r="H7" i="2"/>
  <c r="I5" i="3"/>
  <c r="H6" i="3"/>
  <c r="H7" i="3"/>
  <c r="H5" i="4"/>
  <c r="H6" i="4"/>
  <c r="H7" i="4"/>
  <c r="H3" i="4"/>
  <c r="H8" i="4"/>
  <c r="H2" i="4"/>
  <c r="J7" i="4"/>
  <c r="J8" i="4"/>
  <c r="K7" i="19"/>
  <c r="L7" i="19" s="1"/>
  <c r="K8" i="19"/>
  <c r="L8" i="19" s="1"/>
  <c r="H6" i="19"/>
  <c r="J6" i="19" s="1"/>
  <c r="L6" i="19" s="1"/>
  <c r="H4" i="19"/>
  <c r="J4" i="19" s="1"/>
  <c r="L4" i="19" s="1"/>
  <c r="I5" i="19"/>
  <c r="K5" i="19" s="1"/>
  <c r="H3" i="19"/>
  <c r="J3" i="19" s="1"/>
  <c r="L3" i="19" s="1"/>
  <c r="H2" i="19"/>
  <c r="J2" i="19" s="1"/>
  <c r="I2" i="16"/>
  <c r="K2" i="16" s="1"/>
  <c r="I5" i="16"/>
  <c r="K5" i="16" s="1"/>
  <c r="K3" i="16"/>
  <c r="H3" i="16"/>
  <c r="J3" i="16" s="1"/>
  <c r="H8" i="16"/>
  <c r="J8" i="16" s="1"/>
  <c r="K8" i="16"/>
  <c r="H7" i="16"/>
  <c r="J7" i="16" s="1"/>
  <c r="K7" i="16"/>
  <c r="H6" i="16"/>
  <c r="J6" i="16" s="1"/>
  <c r="K6" i="16"/>
  <c r="H4" i="16"/>
  <c r="J4" i="16" s="1"/>
  <c r="K4" i="16"/>
  <c r="J2" i="16"/>
  <c r="J5" i="16"/>
  <c r="B24" i="11"/>
  <c r="B63" i="15" s="1"/>
  <c r="B24" i="1"/>
  <c r="B24" i="7"/>
  <c r="E43" i="15" s="1"/>
  <c r="E22" i="15"/>
  <c r="B24" i="5"/>
  <c r="B43" i="15" s="1"/>
  <c r="B24" i="3"/>
  <c r="E2" i="15" s="1"/>
  <c r="B24" i="2"/>
  <c r="B24" i="13"/>
  <c r="D15" i="13"/>
  <c r="B36" i="13" s="1"/>
  <c r="B40" i="13" s="1"/>
  <c r="C15" i="13"/>
  <c r="B32" i="13" s="1"/>
  <c r="B15" i="13"/>
  <c r="B30" i="13" s="1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K3" i="2"/>
  <c r="K8" i="11"/>
  <c r="G8" i="1"/>
  <c r="G7" i="1"/>
  <c r="I7" i="1" s="1"/>
  <c r="G6" i="1"/>
  <c r="I6" i="1" s="1"/>
  <c r="K6" i="1" s="1"/>
  <c r="G5" i="1"/>
  <c r="I5" i="1" s="1"/>
  <c r="K5" i="1" s="1"/>
  <c r="G4" i="1"/>
  <c r="I4" i="1" s="1"/>
  <c r="K4" i="1" s="1"/>
  <c r="G3" i="1"/>
  <c r="I3" i="1" s="1"/>
  <c r="K3" i="1" s="1"/>
  <c r="G2" i="1"/>
  <c r="I2" i="1" s="1"/>
  <c r="K2" i="1" s="1"/>
  <c r="G8" i="7"/>
  <c r="G7" i="7"/>
  <c r="G6" i="7"/>
  <c r="I6" i="7" s="1"/>
  <c r="G5" i="7"/>
  <c r="I5" i="7" s="1"/>
  <c r="G4" i="7"/>
  <c r="I4" i="7" s="1"/>
  <c r="G3" i="7"/>
  <c r="I3" i="7" s="1"/>
  <c r="G2" i="7"/>
  <c r="K8" i="6"/>
  <c r="K6" i="6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C15" i="19" l="1"/>
  <c r="B32" i="19" s="1"/>
  <c r="L2" i="19"/>
  <c r="B15" i="19"/>
  <c r="B30" i="19" s="1"/>
  <c r="L5" i="19"/>
  <c r="D15" i="18"/>
  <c r="B36" i="18" s="1"/>
  <c r="B15" i="18"/>
  <c r="B30" i="18" s="1"/>
  <c r="E89" i="15" s="1"/>
  <c r="C15" i="18"/>
  <c r="B32" i="18" s="1"/>
  <c r="E91" i="15" s="1"/>
  <c r="K7" i="11"/>
  <c r="K7" i="3"/>
  <c r="K8" i="3"/>
  <c r="K3" i="3"/>
  <c r="K6" i="3"/>
  <c r="I8" i="1"/>
  <c r="C15" i="1" s="1"/>
  <c r="B32" i="1" s="1"/>
  <c r="H8" i="1"/>
  <c r="J8" i="1" s="1"/>
  <c r="L8" i="1" s="1"/>
  <c r="K6" i="11"/>
  <c r="K5" i="11"/>
  <c r="K4" i="11"/>
  <c r="K3" i="11"/>
  <c r="H2" i="7"/>
  <c r="J2" i="7" s="1"/>
  <c r="I2" i="7"/>
  <c r="K2" i="7" s="1"/>
  <c r="I7" i="7"/>
  <c r="K7" i="7" s="1"/>
  <c r="I8" i="7"/>
  <c r="K8" i="7" s="1"/>
  <c r="K7" i="2"/>
  <c r="K8" i="2"/>
  <c r="K6" i="2"/>
  <c r="L3" i="16"/>
  <c r="H7" i="1"/>
  <c r="J7" i="1" s="1"/>
  <c r="L7" i="1" s="1"/>
  <c r="H6" i="1"/>
  <c r="J6" i="1" s="1"/>
  <c r="L6" i="1" s="1"/>
  <c r="H3" i="1"/>
  <c r="J3" i="1" s="1"/>
  <c r="L3" i="1" s="1"/>
  <c r="H4" i="1"/>
  <c r="J4" i="1" s="1"/>
  <c r="L4" i="1" s="1"/>
  <c r="H2" i="1"/>
  <c r="J2" i="1" s="1"/>
  <c r="H5" i="1"/>
  <c r="J5" i="1" s="1"/>
  <c r="L5" i="1" s="1"/>
  <c r="L8" i="16"/>
  <c r="L7" i="16"/>
  <c r="C15" i="16"/>
  <c r="B32" i="16" s="1"/>
  <c r="B91" i="15" s="1"/>
  <c r="L2" i="16"/>
  <c r="B15" i="16"/>
  <c r="B30" i="16" s="1"/>
  <c r="B89" i="15" s="1"/>
  <c r="J8" i="11"/>
  <c r="L8" i="11" s="1"/>
  <c r="J2" i="11"/>
  <c r="K2" i="11"/>
  <c r="J3" i="11"/>
  <c r="J4" i="11"/>
  <c r="J5" i="11"/>
  <c r="J6" i="11"/>
  <c r="H4" i="7"/>
  <c r="J4" i="7" s="1"/>
  <c r="K4" i="7"/>
  <c r="H5" i="7"/>
  <c r="J5" i="7" s="1"/>
  <c r="K5" i="7"/>
  <c r="H6" i="7"/>
  <c r="J6" i="7" s="1"/>
  <c r="K6" i="7"/>
  <c r="H3" i="7"/>
  <c r="J3" i="7" s="1"/>
  <c r="K3" i="7"/>
  <c r="H7" i="7"/>
  <c r="H8" i="7"/>
  <c r="J8" i="5"/>
  <c r="K8" i="5"/>
  <c r="J3" i="5"/>
  <c r="K3" i="5"/>
  <c r="J7" i="5"/>
  <c r="K7" i="5"/>
  <c r="K5" i="5"/>
  <c r="J5" i="5"/>
  <c r="K6" i="5"/>
  <c r="J6" i="5"/>
  <c r="K2" i="5"/>
  <c r="J2" i="5"/>
  <c r="J4" i="5"/>
  <c r="J4" i="6"/>
  <c r="K2" i="2"/>
  <c r="J2" i="2"/>
  <c r="J5" i="2"/>
  <c r="J4" i="2"/>
  <c r="J8" i="3"/>
  <c r="J5" i="3"/>
  <c r="K5" i="3"/>
  <c r="J7" i="3"/>
  <c r="J2" i="3"/>
  <c r="J6" i="3"/>
  <c r="J3" i="3"/>
  <c r="J4" i="3"/>
  <c r="K4" i="3"/>
  <c r="K8" i="4"/>
  <c r="K5" i="4"/>
  <c r="J5" i="4"/>
  <c r="J3" i="4"/>
  <c r="J7" i="11"/>
  <c r="K4" i="5"/>
  <c r="K7" i="4"/>
  <c r="J6" i="4"/>
  <c r="J4" i="4"/>
  <c r="K4" i="4"/>
  <c r="K2" i="4"/>
  <c r="J2" i="4"/>
  <c r="J6" i="6"/>
  <c r="L6" i="6" s="1"/>
  <c r="J8" i="6"/>
  <c r="L8" i="6" s="1"/>
  <c r="K2" i="6"/>
  <c r="J2" i="6"/>
  <c r="K3" i="6"/>
  <c r="J3" i="6"/>
  <c r="K5" i="6"/>
  <c r="J5" i="6"/>
  <c r="J7" i="6"/>
  <c r="K7" i="6"/>
  <c r="K4" i="6"/>
  <c r="K5" i="2"/>
  <c r="K4" i="2"/>
  <c r="L3" i="13"/>
  <c r="K5" i="13"/>
  <c r="L6" i="13"/>
  <c r="L7" i="13"/>
  <c r="L8" i="13"/>
  <c r="K4" i="13"/>
  <c r="H2" i="13"/>
  <c r="J2" i="13" s="1"/>
  <c r="H5" i="13"/>
  <c r="J5" i="13" s="1"/>
  <c r="L5" i="13" s="1"/>
  <c r="K2" i="3"/>
  <c r="K3" i="4"/>
  <c r="K6" i="4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D15" i="19" l="1"/>
  <c r="B36" i="19" s="1"/>
  <c r="B40" i="19" s="1"/>
  <c r="L8" i="4"/>
  <c r="B40" i="18"/>
  <c r="E99" i="15" s="1"/>
  <c r="E95" i="15"/>
  <c r="L3" i="3"/>
  <c r="L7" i="3"/>
  <c r="L6" i="3"/>
  <c r="L8" i="3"/>
  <c r="L6" i="11"/>
  <c r="L5" i="11"/>
  <c r="L3" i="11"/>
  <c r="L7" i="4"/>
  <c r="L6" i="5"/>
  <c r="L8" i="5"/>
  <c r="L5" i="6"/>
  <c r="J3" i="2"/>
  <c r="L3" i="2" s="1"/>
  <c r="L2" i="1"/>
  <c r="D15" i="1" s="1"/>
  <c r="B15" i="1"/>
  <c r="B30" i="1" s="1"/>
  <c r="D15" i="16"/>
  <c r="C15" i="11"/>
  <c r="B32" i="11" s="1"/>
  <c r="B71" i="15" s="1"/>
  <c r="J8" i="7"/>
  <c r="L8" i="7" s="1"/>
  <c r="J7" i="7"/>
  <c r="L7" i="7" s="1"/>
  <c r="L6" i="7"/>
  <c r="L3" i="7"/>
  <c r="C15" i="7"/>
  <c r="B32" i="7" s="1"/>
  <c r="E51" i="15" s="1"/>
  <c r="L5" i="7"/>
  <c r="L7" i="5"/>
  <c r="L3" i="5"/>
  <c r="L3" i="6"/>
  <c r="J8" i="2"/>
  <c r="L8" i="2" s="1"/>
  <c r="J7" i="2"/>
  <c r="L7" i="2" s="1"/>
  <c r="J6" i="2"/>
  <c r="L6" i="2" s="1"/>
  <c r="C15" i="2"/>
  <c r="B32" i="2" s="1"/>
  <c r="B30" i="15" s="1"/>
  <c r="L5" i="2"/>
  <c r="L5" i="3"/>
  <c r="L4" i="3"/>
  <c r="L5" i="4"/>
  <c r="L3" i="4"/>
  <c r="L4" i="4"/>
  <c r="L7" i="11"/>
  <c r="L4" i="5"/>
  <c r="C15" i="5"/>
  <c r="B32" i="5" s="1"/>
  <c r="B51" i="15" s="1"/>
  <c r="L5" i="5"/>
  <c r="L6" i="4"/>
  <c r="L7" i="6"/>
  <c r="C15" i="6"/>
  <c r="B32" i="6" s="1"/>
  <c r="E30" i="15" s="1"/>
  <c r="B15" i="4"/>
  <c r="B30" i="4" s="1"/>
  <c r="B8" i="15" s="1"/>
  <c r="C15" i="4"/>
  <c r="B32" i="4" s="1"/>
  <c r="B10" i="15" s="1"/>
  <c r="L4" i="11"/>
  <c r="L4" i="7"/>
  <c r="L2" i="11"/>
  <c r="B15" i="11"/>
  <c r="B30" i="11" s="1"/>
  <c r="B69" i="15" s="1"/>
  <c r="L2" i="7"/>
  <c r="L4" i="6"/>
  <c r="L2" i="6"/>
  <c r="B15" i="6"/>
  <c r="B30" i="6" s="1"/>
  <c r="E28" i="15" s="1"/>
  <c r="L4" i="2"/>
  <c r="L2" i="2"/>
  <c r="L2" i="5"/>
  <c r="B15" i="5"/>
  <c r="B30" i="5" s="1"/>
  <c r="B49" i="15" s="1"/>
  <c r="B15" i="3"/>
  <c r="B30" i="3" s="1"/>
  <c r="E8" i="15" s="1"/>
  <c r="L2" i="3"/>
  <c r="C15" i="3"/>
  <c r="B32" i="3" s="1"/>
  <c r="E10" i="15" s="1"/>
  <c r="L4" i="13"/>
  <c r="L2" i="13"/>
  <c r="L2" i="4"/>
  <c r="B36" i="1" l="1"/>
  <c r="B40" i="1" s="1"/>
  <c r="B36" i="16"/>
  <c r="B40" i="16" s="1"/>
  <c r="B99" i="15" s="1"/>
  <c r="B15" i="2"/>
  <c r="B30" i="2" s="1"/>
  <c r="B28" i="15" s="1"/>
  <c r="D15" i="11"/>
  <c r="B15" i="7"/>
  <c r="B30" i="7" s="1"/>
  <c r="E49" i="15" s="1"/>
  <c r="D15" i="7"/>
  <c r="D15" i="5"/>
  <c r="D15" i="3"/>
  <c r="D15" i="6"/>
  <c r="D15" i="4"/>
  <c r="D15" i="2"/>
  <c r="B42" i="1" l="1"/>
  <c r="B95" i="15"/>
  <c r="B36" i="11"/>
  <c r="B40" i="11" s="1"/>
  <c r="B79" i="15" s="1"/>
  <c r="B36" i="7"/>
  <c r="B40" i="7" s="1"/>
  <c r="E59" i="15" s="1"/>
  <c r="B36" i="5"/>
  <c r="B40" i="5" s="1"/>
  <c r="B59" i="15" s="1"/>
  <c r="B36" i="6"/>
  <c r="B40" i="6" s="1"/>
  <c r="E38" i="15" s="1"/>
  <c r="B36" i="2"/>
  <c r="B40" i="2" s="1"/>
  <c r="B38" i="15" s="1"/>
  <c r="B36" i="3"/>
  <c r="E14" i="15" s="1"/>
  <c r="B36" i="4"/>
  <c r="B40" i="4" s="1"/>
  <c r="B18" i="15" s="1"/>
  <c r="B75" i="15" l="1"/>
  <c r="E34" i="15"/>
  <c r="B34" i="15"/>
  <c r="E55" i="15"/>
  <c r="B55" i="15"/>
  <c r="B40" i="3"/>
  <c r="E18" i="15" s="1"/>
  <c r="B1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<sst xmlns="http://schemas.openxmlformats.org/spreadsheetml/2006/main" count="1304" uniqueCount="177">
  <si>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</si>
  <si>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</si>
  <si>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</si>
  <si>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</si>
  <si>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</si>
  <si>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</si>
  <si>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</si>
  <si>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</si>
  <si>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</si>
  <si>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</si>
  <si>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</si>
  <si>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</si>
  <si>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</si>
  <si>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</si>
  <si>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</si>
  <si>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</si>
  <si>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Aldrin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</si>
  <si>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</si>
  <si>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</si>
  <si>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</si>
  <si>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</si>
  <si>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</si>
  <si>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</si>
  <si>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</si>
  <si>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</si>
  <si>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</si>
  <si>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</si>
  <si>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</si>
  <si>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</si>
  <si>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</si>
  <si>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22:00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</si>
  <si>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</si>
  <si>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</si>
  <si>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</si>
  <si>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</si>
  <si>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</si>
  <si>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</si>
  <si>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</si>
  <si>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</si>
  <si>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</si>
  <si>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</si>
  <si>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</si>
  <si>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</si>
  <si>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</si>
  <si>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</si>
  <si>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</si>
  <si>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</si>
  <si>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</si>
  <si>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</si>
  <si>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</si>
  <si>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</si>
  <si>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</si>
  <si>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</si>
  <si>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</si>
  <si>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</si>
  <si>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</si>
  <si>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Staff</t>
  </si>
  <si>
    <t>Cashier</t>
  </si>
  <si>
    <t>21:00</t>
  </si>
  <si>
    <t>Lenard</t>
  </si>
  <si>
    <t>5:00PM-10:00PM</t>
  </si>
  <si>
    <t>17:00</t>
  </si>
  <si>
    <t>9:30AM-10:00PM</t>
  </si>
  <si>
    <t>09:00</t>
  </si>
  <si>
    <t>Days Worked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</si>
  <si>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</si>
  <si>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</si>
  <si>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</si>
  <si>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</si>
  <si>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</si>
  <si>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</si>
  <si>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</si>
  <si>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09:01</t>
  </si>
  <si>
    <t>16:00</t>
  </si>
  <si>
    <t>David</t>
  </si>
  <si>
    <t>09:02</t>
  </si>
  <si>
    <t>09:03</t>
  </si>
  <si>
    <t>09:04</t>
  </si>
  <si>
    <t>09:05</t>
  </si>
  <si>
    <t>Not Set1</t>
  </si>
  <si>
    <t>2026-02-16</t>
  </si>
  <si>
    <t>Missed</t>
  </si>
  <si>
    <t>2026-02-17</t>
  </si>
  <si>
    <t>2026-02-18</t>
  </si>
  <si>
    <t>2026-02-19</t>
  </si>
  <si>
    <t>2026-02-20</t>
  </si>
  <si>
    <t>2026-02-21</t>
  </si>
  <si>
    <t>08:57</t>
  </si>
  <si>
    <t>2026-02-22</t>
  </si>
  <si>
    <t>12:23</t>
  </si>
  <si>
    <t>jay ann</t>
  </si>
  <si>
    <t>kris</t>
  </si>
  <si>
    <t>cherry</t>
  </si>
  <si>
    <t>aldrin</t>
  </si>
  <si>
    <t>david</t>
  </si>
  <si>
    <t>mark agire</t>
  </si>
  <si>
    <t>9:00AM-9:00PM</t>
  </si>
  <si>
    <t>19:00</t>
  </si>
  <si>
    <t>2026-02-24</t>
  </si>
  <si>
    <t>2026-02-25</t>
  </si>
  <si>
    <t>2026-02-26</t>
  </si>
  <si>
    <t>2026-02-27</t>
  </si>
  <si>
    <t>2026-02-28</t>
  </si>
  <si>
    <t>2026-03-01</t>
  </si>
  <si>
    <t>2026-02-23</t>
  </si>
  <si>
    <t>Ruela</t>
  </si>
  <si>
    <t>Kent</t>
  </si>
  <si>
    <t>kent</t>
  </si>
  <si>
    <t>Cook</t>
  </si>
  <si>
    <t>10:00</t>
  </si>
  <si>
    <t>08:00</t>
  </si>
  <si>
    <t>22:18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</si>
  <si>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</si>
  <si>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</si>
  <si>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</si>
  <si>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</si>
  <si>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</si>
  <si>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</si>
  <si>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</si>
  <si>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21:39</t>
  </si>
  <si>
    <t>09:32</t>
  </si>
  <si>
    <t>21:35</t>
  </si>
  <si>
    <t>08:58</t>
  </si>
  <si>
    <t>09:10</t>
  </si>
  <si>
    <t>22:19</t>
  </si>
  <si>
    <t>09:08</t>
  </si>
  <si>
    <t>13:00</t>
  </si>
  <si>
    <t>18:00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</si>
  <si>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</si>
  <si>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</si>
  <si>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</si>
  <si>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</si>
  <si>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</si>
  <si>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</si>
  <si>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</si>
  <si>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08:41</t>
  </si>
  <si>
    <t>18:18</t>
  </si>
  <si>
    <t>08:20</t>
  </si>
  <si>
    <t>18:07</t>
  </si>
  <si>
    <t>21:40</t>
  </si>
  <si>
    <t>08:54</t>
  </si>
  <si>
    <t>22:03</t>
  </si>
  <si>
    <t>21:51</t>
  </si>
  <si>
    <t>08:55</t>
  </si>
  <si>
    <t>08:12</t>
  </si>
  <si>
    <t>08:52</t>
  </si>
  <si>
    <t>21:34</t>
  </si>
  <si>
    <t>21:26</t>
  </si>
  <si>
    <t>09:07</t>
  </si>
  <si>
    <t>08:19</t>
  </si>
  <si>
    <t>21:24</t>
  </si>
  <si>
    <t>09:58</t>
  </si>
  <si>
    <t>17:15</t>
  </si>
  <si>
    <t>07:56</t>
  </si>
  <si>
    <t>22:29</t>
  </si>
  <si>
    <t>07:58</t>
  </si>
  <si>
    <t>22:04</t>
  </si>
  <si>
    <t>08:07</t>
  </si>
  <si>
    <t>22:14</t>
  </si>
  <si>
    <t>22:28</t>
  </si>
  <si>
    <t>08:01</t>
  </si>
  <si>
    <t>Pepito</t>
  </si>
  <si>
    <t>Apr-20 to Apr-26, 2026</t>
  </si>
  <si>
    <t>21:43</t>
  </si>
  <si>
    <t>21:37</t>
  </si>
  <si>
    <t>22:22</t>
  </si>
  <si>
    <t>13:02</t>
  </si>
  <si>
    <t>Micky</t>
  </si>
  <si>
    <t>Kim</t>
  </si>
  <si>
    <t>micky harabi</t>
  </si>
  <si>
    <t>pepito</t>
  </si>
  <si>
    <t>09:15</t>
  </si>
  <si>
    <t>21:50</t>
  </si>
  <si>
    <t>09:17</t>
  </si>
  <si>
    <t>21:25</t>
  </si>
  <si>
    <t>09:09</t>
  </si>
  <si>
    <t>20:51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</si>
</sst>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dd\-yyyy"/>
    <numFmt numFmtId="165" formatCode="&quot;₱&quot;#,##0.00"/>
    <numFmt numFmtId="166" formatCode="mmm\-dd\-yy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16315A"/>
      <name val="Arial"/>
      <family val="2"/>
    </font>
    <font>
      <sz val="8"/>
      <color indexed="10"/>
      <name val="Arial"/>
      <family val="2"/>
    </font>
    <font>
      <sz val="8"/>
      <name val="Arial"/>
      <charset val="134"/>
    </font>
    <font>
      <sz val="8"/>
      <color indexed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2" fontId="0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2" fontId="0" fillId="2" borderId="0" xfId="0" applyNumberFormat="1" applyFill="1"/>
    <xf numFmtId="16" fontId="0" fillId="2" borderId="0" xfId="0" applyNumberFormat="1" applyFill="1"/>
    <xf numFmtId="0" fontId="10" fillId="0" borderId="0" xfId="0" applyFont="1"/>
    <xf numFmtId="49" fontId="1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49" fontId="12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12" fillId="0" borderId="0" xfId="0" applyNumberFormat="1" applyFont="1" applyBorder="1" applyAlignment="1">
      <alignment horizontal="center" vertical="center"/>
    </xf>
    <xf numFmtId="49" fontId="13" fillId="0" borderId="0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99"/>
  <sheetViews>
    <sheetView tabSelected="1" view="pageBreakPreview" topLeftCell="A37" zoomScale="130" zoomScaleNormal="100" zoomScaleSheetLayoutView="130" workbookViewId="0">
      <selection activeCell="E78" sqref="E78"/>
    </sheetView>
  </sheetViews>
  <sheetFormatPr defaultRowHeight="14.4"/>
  <cols>
    <col min="1" max="1" width="15.109375" bestFit="1" customWidth="1"/>
    <col min="2" max="2" width="19.44140625" bestFit="1" customWidth="1"/>
    <col min="4" max="4" width="15.109375" bestFit="1" customWidth="1"/>
    <col min="5" max="5" width="24.109375" bestFit="1" customWidth="1"/>
  </cols>
  <sheetData>
    <row r="1" spans="1:5" ht="17.399999999999999">
      <c r="A1" s="34" t="s">
        <v>40</v>
      </c>
      <c r="B1" s="34"/>
      <c r="D1" s="34" t="s">
        <v>40</v>
      </c>
      <c r="E1" s="34"/>
    </row>
    <row r="2" spans="1:5">
      <c r="A2" s="18" t="str">
        <f>Kent!A24</f>
        <v>Name:</v>
      </c>
      <c r="B2" s="18" t="str">
        <f>Kent!B24</f>
        <v>Kent</v>
      </c>
      <c r="C2" s="7"/>
      <c r="D2" s="18" t="str">
        <f>'Jay Anne'!A24</f>
        <v>Name:</v>
      </c>
      <c r="E2" s="18" t="str">
        <f>'Jay Anne'!B24</f>
        <v>Jay Anne</v>
      </c>
    </row>
    <row r="3" spans="1:5">
      <c r="A3" s="18" t="str">
        <f>Kent!A25</f>
        <v>Job Title:</v>
      </c>
      <c r="B3" s="18" t="str">
        <f>Kent!B25</f>
        <v>Cook</v>
      </c>
      <c r="C3" s="7"/>
      <c r="D3" s="18" t="str">
        <f>'Jay Anne'!A25</f>
        <v>Job Title:</v>
      </c>
      <c r="E3" s="18" t="str">
        <f>'Jay Anne'!B25</f>
        <v>Cashier</v>
      </c>
    </row>
    <row r="4" spans="1:5">
      <c r="A4" s="18" t="str">
        <f>Kent!A26</f>
        <v>Payment Date:</v>
      </c>
      <c r="B4" s="19">
        <f>Kent!B26</f>
        <v>46139</v>
      </c>
      <c r="C4" s="7"/>
      <c r="D4" s="18" t="str">
        <f>'Jay Anne'!A26</f>
        <v>Payment Date:</v>
      </c>
      <c r="E4" s="19">
        <f>'Jay Anne'!B26</f>
        <v>46139</v>
      </c>
    </row>
    <row r="5" spans="1:5">
      <c r="A5" s="18" t="str">
        <f>Kent!A27</f>
        <v>Cut Off Period:</v>
      </c>
      <c r="B5" s="18" t="str">
        <f>Kent!B27</f>
        <v>Apr-20 to Apr-26, 2026</v>
      </c>
      <c r="C5" s="7"/>
      <c r="D5" s="18" t="str">
        <f>'Jay Anne'!A27</f>
        <v>Cut Off Period:</v>
      </c>
      <c r="E5" s="18" t="str">
        <f>'Jay Anne'!B27</f>
        <v>Apr-20 to Apr-26, 2026</v>
      </c>
    </row>
    <row r="6" spans="1:5">
      <c r="A6" s="18" t="str">
        <f>Kent!A28</f>
        <v>Days Worked</v>
      </c>
      <c r="B6" s="18">
        <f>Kent!B28</f>
        <v>2</v>
      </c>
      <c r="C6" s="7"/>
      <c r="D6" s="18" t="str">
        <f>'Jay Anne'!A28</f>
        <v>Days Worked</v>
      </c>
      <c r="E6" s="18">
        <f>'Jay Anne'!B28</f>
        <v>3</v>
      </c>
    </row>
    <row r="7" spans="1:5">
      <c r="A7" s="20" t="str">
        <f>Kent!A29</f>
        <v>Adjustments</v>
      </c>
      <c r="B7" s="18"/>
      <c r="C7" s="7"/>
      <c r="D7" s="20" t="str">
        <f>'Jay Anne'!A29</f>
        <v>Adjustments</v>
      </c>
      <c r="E7" s="18"/>
    </row>
    <row r="8" spans="1:5">
      <c r="A8" s="18" t="str">
        <f>Kent!A30</f>
        <v>Basic Pay</v>
      </c>
      <c r="B8" s="14">
        <f>Kent!B30</f>
        <v>579.52</v>
      </c>
      <c r="C8" s="7"/>
      <c r="D8" s="18" t="str">
        <f>'Jay Anne'!A30</f>
        <v>Basic Pay</v>
      </c>
      <c r="E8" s="14">
        <f>'Jay Anne'!B30</f>
        <v>899.90999999999985</v>
      </c>
    </row>
    <row r="9" spans="1:5">
      <c r="A9" s="18" t="str">
        <f>Kent!A31</f>
        <v>Bonus/Incentives</v>
      </c>
      <c r="B9" s="14">
        <f>Kent!B31</f>
        <v>0</v>
      </c>
      <c r="C9" s="7"/>
      <c r="D9" s="18" t="str">
        <f>'Jay Anne'!A31</f>
        <v>Bonus/Incentives</v>
      </c>
      <c r="E9" s="14">
        <f>'Jay Anne'!B31</f>
        <v>0</v>
      </c>
    </row>
    <row r="10" spans="1:5">
      <c r="A10" s="18" t="str">
        <f>Kent!A32</f>
        <v>Overtime Pay</v>
      </c>
      <c r="B10" s="14">
        <f>Kent!B32</f>
        <v>304.24800000000005</v>
      </c>
      <c r="C10" s="7"/>
      <c r="D10" s="18" t="str">
        <f>'Jay Anne'!A32</f>
        <v>Overtime Pay</v>
      </c>
      <c r="E10" s="14">
        <f>'Jay Anne'!B32</f>
        <v>239.97599999999997</v>
      </c>
    </row>
    <row r="11" spans="1:5">
      <c r="A11" s="18" t="str">
        <f>Kent!A33</f>
        <v>Other Income</v>
      </c>
      <c r="B11" s="14">
        <f>Kent!B33</f>
        <v>0</v>
      </c>
      <c r="C11" s="7"/>
      <c r="D11" s="18" t="str">
        <f>'Jay Anne'!A33</f>
        <v>Other Income</v>
      </c>
      <c r="E11" s="14">
        <f>'Jay Anne'!B33</f>
        <v>0</v>
      </c>
    </row>
    <row r="12" spans="1:5">
      <c r="A12" s="18"/>
      <c r="B12" s="14"/>
      <c r="C12" s="7"/>
      <c r="D12" s="18"/>
      <c r="E12" s="14"/>
    </row>
    <row r="13" spans="1:5">
      <c r="A13" s="18"/>
      <c r="B13" s="14"/>
      <c r="C13" s="7"/>
      <c r="D13" s="18"/>
      <c r="E13" s="14"/>
    </row>
    <row r="14" spans="1:5">
      <c r="A14" s="21" t="str">
        <f>Kent!A36</f>
        <v>Gross Pay</v>
      </c>
      <c r="B14" s="14">
        <f>Kent!B36</f>
        <v>883.76800000000003</v>
      </c>
      <c r="C14" s="7"/>
      <c r="D14" s="21" t="str">
        <f>'Jay Anne'!A36</f>
        <v>Gross Pay</v>
      </c>
      <c r="E14" s="14">
        <f>'Jay Anne'!B36</f>
        <v>1139.886</v>
      </c>
    </row>
    <row r="15" spans="1:5">
      <c r="A15" s="18" t="str">
        <f>Kent!A37</f>
        <v>Deductions</v>
      </c>
      <c r="B15" s="14">
        <f>Kent!B37</f>
        <v>0</v>
      </c>
      <c r="C15" s="7"/>
      <c r="D15" s="18" t="str">
        <f>'Jay Anne'!A37</f>
        <v>Deductions</v>
      </c>
      <c r="E15" s="14">
        <f>'Jay Anne'!B37</f>
        <v>0</v>
      </c>
    </row>
    <row r="16" spans="1:5">
      <c r="A16" s="18" t="str">
        <f>Kent!A38</f>
        <v>WH Tax</v>
      </c>
      <c r="B16" s="14">
        <f>Kent!B38</f>
        <v>0</v>
      </c>
      <c r="C16" s="7"/>
      <c r="D16" s="18" t="str">
        <f>'Jay Anne'!A38</f>
        <v>WH Tax</v>
      </c>
      <c r="E16" s="14">
        <f>'Jay Anne'!B38</f>
        <v>0</v>
      </c>
    </row>
    <row r="17" spans="1:5">
      <c r="A17" s="18"/>
      <c r="B17" s="14"/>
      <c r="C17" s="7"/>
      <c r="D17" s="18"/>
      <c r="E17" s="14"/>
    </row>
    <row r="18" spans="1:5">
      <c r="A18" s="20" t="str">
        <f>Kent!A40</f>
        <v>Net Pay</v>
      </c>
      <c r="B18" s="14">
        <f>Kent!B40</f>
        <v>883.76800000000003</v>
      </c>
      <c r="C18" s="7"/>
      <c r="D18" s="20" t="str">
        <f>'Jay Anne'!A40</f>
        <v>Net Pay</v>
      </c>
      <c r="E18" s="14">
        <f>'Jay Anne'!B40</f>
        <v>1139.886</v>
      </c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 ht="17.399999999999999">
      <c r="A21" s="34" t="s">
        <v>40</v>
      </c>
      <c r="B21" s="34"/>
      <c r="D21" s="34" t="s">
        <v>40</v>
      </c>
      <c r="E21" s="34"/>
    </row>
    <row r="22" spans="1:5">
      <c r="A22" s="18" t="str">
        <f>Kris!A24</f>
        <v>Name:</v>
      </c>
      <c r="B22" s="18" t="str">
        <f>Kris!B24</f>
        <v>Kris Naynayan</v>
      </c>
      <c r="C22" s="7"/>
      <c r="D22" s="18" t="str">
        <f>Pepito!A24</f>
        <v>Name:</v>
      </c>
      <c r="E22" s="18" t="str">
        <f>Pepito!B24</f>
        <v>Pepito</v>
      </c>
    </row>
    <row r="23" spans="1:5">
      <c r="A23" s="18" t="str">
        <f>Kris!A25</f>
        <v>Job Title:</v>
      </c>
      <c r="B23" s="18" t="str">
        <f>Kris!B25</f>
        <v>Staff</v>
      </c>
      <c r="C23" s="7"/>
      <c r="D23" s="18" t="str">
        <f>Pepito!A25</f>
        <v>Job Title:</v>
      </c>
      <c r="E23" s="18" t="str">
        <f>Pepito!B25</f>
        <v>Staff</v>
      </c>
    </row>
    <row r="24" spans="1:5">
      <c r="A24" s="18" t="str">
        <f>Kris!A26</f>
        <v>Payment Date:</v>
      </c>
      <c r="B24" s="19">
        <f>Kris!B26</f>
        <v>46139</v>
      </c>
      <c r="C24" s="7"/>
      <c r="D24" s="18" t="str">
        <f>Pepito!A26</f>
        <v>Payment Date:</v>
      </c>
      <c r="E24" s="19">
        <f>Pepito!B26</f>
        <v>46139</v>
      </c>
    </row>
    <row r="25" spans="1:5">
      <c r="A25" s="18" t="str">
        <f>Kris!A27</f>
        <v>Cut Off Period:</v>
      </c>
      <c r="B25" s="18" t="str">
        <f>Kris!B27</f>
        <v>Apr-20 to Apr-26, 2026</v>
      </c>
      <c r="C25" s="7"/>
      <c r="D25" s="18" t="str">
        <f>Pepito!A27</f>
        <v>Cut Off Period:</v>
      </c>
      <c r="E25" s="18" t="str">
        <f>Pepito!B27</f>
        <v>Apr-20 to Apr-26, 2026</v>
      </c>
    </row>
    <row r="26" spans="1:5">
      <c r="A26" s="18" t="str">
        <f>Kris!A28</f>
        <v>Days Worked</v>
      </c>
      <c r="B26" s="18">
        <f>Kris!B28</f>
        <v>4</v>
      </c>
      <c r="C26" s="7"/>
      <c r="D26" s="18" t="str">
        <f>Pepito!A28</f>
        <v>Days Worked</v>
      </c>
      <c r="E26" s="18">
        <f>Pepito!B28</f>
        <v>5</v>
      </c>
    </row>
    <row r="27" spans="1:5">
      <c r="A27" s="20" t="str">
        <f>Kris!A29</f>
        <v>Adjustments</v>
      </c>
      <c r="B27" s="18"/>
      <c r="C27" s="7"/>
      <c r="D27" s="18" t="str">
        <f>Pepito!A29</f>
        <v>Adjustments</v>
      </c>
      <c r="E27" s="18"/>
    </row>
    <row r="28" spans="1:5">
      <c r="A28" s="18" t="str">
        <f>Kris!A30</f>
        <v>Basic Pay</v>
      </c>
      <c r="B28" s="14">
        <f>Kris!B30</f>
        <v>1104.5819999999999</v>
      </c>
      <c r="C28" s="7"/>
      <c r="D28" s="18" t="str">
        <f>Pepito!A30</f>
        <v>Basic Pay</v>
      </c>
      <c r="E28" s="14">
        <f>Pepito!B30</f>
        <v>1249.72</v>
      </c>
    </row>
    <row r="29" spans="1:5">
      <c r="A29" s="18" t="str">
        <f>Kris!A31</f>
        <v>Bonus/Incentives</v>
      </c>
      <c r="B29" s="14">
        <f>Kris!B31</f>
        <v>0</v>
      </c>
      <c r="C29" s="7"/>
      <c r="D29" s="18" t="str">
        <f>Pepito!A31</f>
        <v>Bonus/Incentives</v>
      </c>
      <c r="E29" s="14">
        <f>Pepito!B31</f>
        <v>0</v>
      </c>
    </row>
    <row r="30" spans="1:5">
      <c r="A30" s="18" t="str">
        <f>Kris!A32</f>
        <v>Overtime Pay</v>
      </c>
      <c r="B30" s="14">
        <f>Kris!B32</f>
        <v>130.75200000000007</v>
      </c>
      <c r="C30" s="7"/>
      <c r="D30" s="18" t="str">
        <f>Pepito!A32</f>
        <v>Overtime Pay</v>
      </c>
      <c r="E30" s="14">
        <f>Pepito!B32</f>
        <v>512.38800000000015</v>
      </c>
    </row>
    <row r="31" spans="1:5">
      <c r="A31" s="18" t="str">
        <f>Kris!A33</f>
        <v>Other Income</v>
      </c>
      <c r="B31" s="14">
        <f>Kris!B33</f>
        <v>0</v>
      </c>
      <c r="C31" s="7"/>
      <c r="D31" s="18" t="str">
        <f>Pepito!A33</f>
        <v>Other Income</v>
      </c>
      <c r="E31" s="14">
        <f>Pepito!B33</f>
        <v>0</v>
      </c>
    </row>
    <row r="32" spans="1:5">
      <c r="A32" s="18"/>
      <c r="B32" s="14"/>
      <c r="C32" s="7"/>
      <c r="D32" s="18"/>
      <c r="E32" s="14"/>
    </row>
    <row r="33" spans="1:5">
      <c r="A33" s="18"/>
      <c r="B33" s="14"/>
      <c r="C33" s="7"/>
      <c r="D33" s="18"/>
      <c r="E33" s="14"/>
    </row>
    <row r="34" spans="1:5">
      <c r="A34" s="18" t="str">
        <f>Kris!A36</f>
        <v>Gross Pay</v>
      </c>
      <c r="B34" s="14">
        <f>Kris!B36</f>
        <v>1235.3340000000001</v>
      </c>
      <c r="C34" s="7"/>
      <c r="D34" s="21" t="str">
        <f>Pepito!A36</f>
        <v>Gross Pay</v>
      </c>
      <c r="E34" s="14">
        <f>Pepito!B36</f>
        <v>1762.1080000000002</v>
      </c>
    </row>
    <row r="35" spans="1:5">
      <c r="A35" s="18" t="str">
        <f>Kris!A37</f>
        <v>Deductions</v>
      </c>
      <c r="B35" s="14">
        <f>Kris!B37</f>
        <v>0</v>
      </c>
      <c r="C35" s="7"/>
      <c r="D35" s="18" t="str">
        <f>Pepito!A37</f>
        <v>Deductions</v>
      </c>
      <c r="E35" s="14">
        <f>Pepito!B37</f>
        <v>0</v>
      </c>
    </row>
    <row r="36" spans="1:5">
      <c r="A36" s="18" t="str">
        <f>Kris!A38</f>
        <v>WH Tax</v>
      </c>
      <c r="B36" s="14">
        <f>Kris!B38</f>
        <v>0</v>
      </c>
      <c r="C36" s="7"/>
      <c r="D36" s="18" t="str">
        <f>Pepito!A38</f>
        <v>WH Tax</v>
      </c>
      <c r="E36" s="14">
        <f>Pepito!B38</f>
        <v>0</v>
      </c>
    </row>
    <row r="37" spans="1:5">
      <c r="A37" s="18"/>
      <c r="B37" s="14"/>
      <c r="C37" s="7"/>
      <c r="D37" s="18"/>
      <c r="E37" s="14"/>
    </row>
    <row r="38" spans="1:5">
      <c r="A38" s="20" t="str">
        <f>Kris!A40</f>
        <v>Net Pay</v>
      </c>
      <c r="B38" s="14">
        <f>Kris!B40</f>
        <v>1235.3340000000001</v>
      </c>
      <c r="C38" s="7"/>
      <c r="D38" s="20" t="str">
        <f>Pepito!A40</f>
        <v>Net Pay</v>
      </c>
      <c r="E38" s="14">
        <f>Pepito!B40</f>
        <v>1762.1080000000002</v>
      </c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 ht="17.399999999999999">
      <c r="A42" s="34" t="s">
        <v>40</v>
      </c>
      <c r="B42" s="34"/>
      <c r="D42" s="34" t="s">
        <v>40</v>
      </c>
      <c r="E42" s="34"/>
    </row>
    <row r="43" spans="1:5">
      <c r="A43" s="18" t="str">
        <f>Cherry!A24</f>
        <v>Name:</v>
      </c>
      <c r="B43" s="18" t="str">
        <f>Cherry!B24</f>
        <v>Cherry</v>
      </c>
      <c r="C43" s="7"/>
      <c r="D43" s="18" t="str">
        <f>Kim!A24</f>
        <v>Name:</v>
      </c>
      <c r="E43" s="18" t="str">
        <f>Kim!B24</f>
        <v>Kim</v>
      </c>
    </row>
    <row r="44" spans="1:5">
      <c r="A44" s="18" t="str">
        <f>Cherry!A25</f>
        <v>Job Title:</v>
      </c>
      <c r="B44" s="18" t="str">
        <f>Cherry!B25</f>
        <v>Staff</v>
      </c>
      <c r="C44" s="7"/>
      <c r="D44" s="18" t="str">
        <f>Kim!A25</f>
        <v>Job Title:</v>
      </c>
      <c r="E44" s="18" t="str">
        <f>Kim!B25</f>
        <v>Staff</v>
      </c>
    </row>
    <row r="45" spans="1:5">
      <c r="A45" s="18" t="str">
        <f>Cherry!A26</f>
        <v>Payment Date:</v>
      </c>
      <c r="B45" s="19">
        <f>Cherry!B26</f>
        <v>46139</v>
      </c>
      <c r="C45" s="7"/>
      <c r="D45" s="18" t="str">
        <f>Kim!A26</f>
        <v>Payment Date:</v>
      </c>
      <c r="E45" s="19">
        <f>Kim!B26</f>
        <v>46125</v>
      </c>
    </row>
    <row r="46" spans="1:5">
      <c r="A46" s="18" t="str">
        <f>Cherry!A27</f>
        <v>Cut Off Period:</v>
      </c>
      <c r="B46" s="18" t="str">
        <f>Cherry!B27</f>
        <v>Apr-20 to Apr-26, 2026</v>
      </c>
      <c r="C46" s="7"/>
      <c r="D46" s="18" t="str">
        <f>Kim!A27</f>
        <v>Cut Off Period:</v>
      </c>
      <c r="E46" s="18" t="str">
        <f>Kim!B27</f>
        <v>Apr-20 to Apr-26, 2026</v>
      </c>
    </row>
    <row r="47" spans="1:5">
      <c r="A47" s="18" t="str">
        <f>Cherry!A28</f>
        <v>Days Worked</v>
      </c>
      <c r="B47" s="18">
        <f>Cherry!B28</f>
        <v>6</v>
      </c>
      <c r="C47" s="7"/>
      <c r="D47" s="18" t="str">
        <f>Kim!A28</f>
        <v>Days Worked</v>
      </c>
      <c r="E47" s="18">
        <f>Kim!B28</f>
        <v>0</v>
      </c>
    </row>
    <row r="48" spans="1:5">
      <c r="A48" s="20" t="str">
        <f>Cherry!A29</f>
        <v>Adjustments</v>
      </c>
      <c r="B48" s="18"/>
      <c r="C48" s="7"/>
      <c r="D48" s="20" t="str">
        <f>Kim!A29</f>
        <v>Adjustments</v>
      </c>
      <c r="E48" s="18"/>
    </row>
    <row r="49" spans="1:5">
      <c r="A49" s="18" t="str">
        <f>Cherry!A30</f>
        <v>Basic Pay</v>
      </c>
      <c r="B49" s="14">
        <f>Cherry!B30</f>
        <v>2019</v>
      </c>
      <c r="C49" s="7"/>
      <c r="D49" s="18" t="str">
        <f>Kim!A30</f>
        <v>Basic Pay</v>
      </c>
      <c r="E49" s="14">
        <f>Kim!B30</f>
        <v>0</v>
      </c>
    </row>
    <row r="50" spans="1:5">
      <c r="A50" s="18" t="str">
        <f>Cherry!A31</f>
        <v>Bonus/Incentives</v>
      </c>
      <c r="B50" s="14">
        <f>Cherry!B31</f>
        <v>0</v>
      </c>
      <c r="C50" s="7"/>
      <c r="D50" s="18" t="str">
        <f>Kim!A31</f>
        <v>Bonus/Incentives</v>
      </c>
      <c r="E50" s="14">
        <f>Kim!B31</f>
        <v>0</v>
      </c>
    </row>
    <row r="51" spans="1:5">
      <c r="A51" s="18" t="str">
        <f>Cherry!A32</f>
        <v>Overtime Pay</v>
      </c>
      <c r="B51" s="14">
        <f>Cherry!B32</f>
        <v>1172.1359999999995</v>
      </c>
      <c r="C51" s="7"/>
      <c r="D51" s="18" t="str">
        <f>Kim!A32</f>
        <v>Overtime Pay</v>
      </c>
      <c r="E51" s="14">
        <f>Kim!B32</f>
        <v>0</v>
      </c>
    </row>
    <row r="52" spans="1:5">
      <c r="A52" s="18" t="str">
        <f>Cherry!A33</f>
        <v>Other Income</v>
      </c>
      <c r="B52" s="14">
        <f>Cherry!B33</f>
        <v>0</v>
      </c>
      <c r="C52" s="7"/>
      <c r="D52" s="18" t="str">
        <f>Kim!A33</f>
        <v>Other Income</v>
      </c>
      <c r="E52" s="14">
        <f>Kim!B33</f>
        <v>0</v>
      </c>
    </row>
    <row r="53" spans="1:5">
      <c r="A53" s="18"/>
      <c r="B53" s="14"/>
      <c r="C53" s="7"/>
      <c r="D53" s="18"/>
      <c r="E53" s="14"/>
    </row>
    <row r="54" spans="1:5">
      <c r="A54" s="18"/>
      <c r="B54" s="14"/>
      <c r="C54" s="7"/>
      <c r="D54" s="18"/>
      <c r="E54" s="14"/>
    </row>
    <row r="55" spans="1:5">
      <c r="A55" s="18" t="str">
        <f>Cherry!A36</f>
        <v>Gross Pay</v>
      </c>
      <c r="B55" s="14">
        <f>Cherry!B36</f>
        <v>3191.1359999999995</v>
      </c>
      <c r="C55" s="7"/>
      <c r="D55" s="18" t="str">
        <f>Kim!A36</f>
        <v>Gross Pay</v>
      </c>
      <c r="E55" s="14">
        <f>Kim!B36</f>
        <v>0</v>
      </c>
    </row>
    <row r="56" spans="1:5">
      <c r="A56" s="18" t="str">
        <f>Cherry!A37</f>
        <v>Deductions</v>
      </c>
      <c r="B56" s="14">
        <f>Cherry!B37</f>
        <v>0</v>
      </c>
      <c r="C56" s="7"/>
      <c r="D56" s="18" t="str">
        <f>Kim!A37</f>
        <v>Deductions</v>
      </c>
      <c r="E56" s="14">
        <f>Kim!B37</f>
        <v>0</v>
      </c>
    </row>
    <row r="57" spans="1:5">
      <c r="A57" s="18" t="str">
        <f>Cherry!A38</f>
        <v>WH Tax</v>
      </c>
      <c r="B57" s="14">
        <f>Cherry!B38</f>
        <v>0</v>
      </c>
      <c r="C57" s="7"/>
      <c r="D57" s="18" t="str">
        <f>Kim!A38</f>
        <v>WH Tax</v>
      </c>
      <c r="E57" s="14">
        <f>Kim!B38</f>
        <v>0</v>
      </c>
    </row>
    <row r="58" spans="1:5">
      <c r="A58" s="18"/>
      <c r="B58" s="14"/>
      <c r="C58" s="7"/>
      <c r="D58" s="18"/>
      <c r="E58" s="14"/>
    </row>
    <row r="59" spans="1:5">
      <c r="A59" s="20" t="str">
        <f>Cherry!A40</f>
        <v>Net Pay</v>
      </c>
      <c r="B59" s="14">
        <f>Cherry!B40</f>
        <v>3191.1359999999995</v>
      </c>
      <c r="C59" s="7"/>
      <c r="D59" s="20" t="str">
        <f>Kim!A40</f>
        <v>Net Pay</v>
      </c>
      <c r="E59" s="14">
        <f>Kim!B40</f>
        <v>0</v>
      </c>
    </row>
    <row r="60" spans="1:5">
      <c r="A60" s="7"/>
      <c r="B60" s="7"/>
      <c r="C60" s="7"/>
      <c r="D60" s="7"/>
      <c r="E60" s="7"/>
    </row>
    <row r="62" spans="1:5" ht="17.399999999999999">
      <c r="A62" s="34" t="s">
        <v>40</v>
      </c>
      <c r="B62" s="34"/>
      <c r="D62" s="34" t="s">
        <v>40</v>
      </c>
      <c r="E62" s="34"/>
    </row>
    <row r="63" spans="1:5">
      <c r="A63" s="10" t="str">
        <f>Mark!A24</f>
        <v>Name:</v>
      </c>
      <c r="B63" s="10" t="str">
        <f>Mark!B24</f>
        <v>Mark</v>
      </c>
      <c r="D63" s="10" t="str">
        <f>Chardiya!A24</f>
        <v>Name:</v>
      </c>
      <c r="E63" s="10" t="str">
        <f>Micky!B24</f>
        <v>Micky</v>
      </c>
    </row>
    <row r="64" spans="1:5">
      <c r="A64" s="10" t="str">
        <f>Mark!A25</f>
        <v>Job Title:</v>
      </c>
      <c r="B64" s="10" t="str">
        <f>Mark!B25</f>
        <v>Staff</v>
      </c>
      <c r="D64" s="10" t="str">
        <f>Chardiya!A25</f>
        <v>Job Title:</v>
      </c>
      <c r="E64" s="10" t="str">
        <f>Micky!B25</f>
        <v>Cashier</v>
      </c>
    </row>
    <row r="65" spans="1:5">
      <c r="A65" s="10" t="str">
        <f>Mark!A26</f>
        <v>Payment Date:</v>
      </c>
      <c r="B65" s="19">
        <f>Mark!B26</f>
        <v>46139</v>
      </c>
      <c r="D65" s="10" t="str">
        <f>Chardiya!A26</f>
        <v>Payment Date:</v>
      </c>
      <c r="E65" s="10">
        <f>Micky!B26</f>
        <v>46139</v>
      </c>
    </row>
    <row r="66" spans="1:5">
      <c r="A66" s="10" t="str">
        <f>Mark!A27</f>
        <v>Cut Off Period:</v>
      </c>
      <c r="B66" s="10" t="str">
        <f>Mark!B27</f>
        <v>Apr-20 to Apr-26, 2026</v>
      </c>
      <c r="D66" s="10" t="str">
        <f>Chardiya!A27</f>
        <v>Cut Off Period:</v>
      </c>
      <c r="E66" s="10" t="str">
        <f>Micky!B27</f>
        <v>Apr-20 to Apr-26, 2026</v>
      </c>
    </row>
    <row r="67" spans="1:5">
      <c r="A67" s="10" t="str">
        <f>Mark!A28</f>
        <v>Days Worked</v>
      </c>
      <c r="B67" s="10">
        <f>Mark!B28</f>
        <v>6</v>
      </c>
      <c r="D67" s="10" t="str">
        <f>Chardiya!A28</f>
        <v>Days Worked</v>
      </c>
      <c r="E67" s="10">
        <f>Micky!B28</f>
        <v>7</v>
      </c>
    </row>
    <row r="68" spans="1:5">
      <c r="A68" s="13" t="str">
        <f>Mark!A29</f>
        <v>Adjustments</v>
      </c>
      <c r="B68" s="10"/>
      <c r="D68" s="13" t="str">
        <f>Chardiya!A29</f>
        <v>Adjustments</v>
      </c>
      <c r="E68" s="10"/>
    </row>
    <row r="69" spans="1:5">
      <c r="A69" s="10" t="str">
        <f>Mark!A30</f>
        <v>Basic Pay</v>
      </c>
      <c r="B69" s="14">
        <f>Mark!B30</f>
        <v>1620</v>
      </c>
      <c r="D69" s="10" t="str">
        <f>Chardiya!A30</f>
        <v>Basic Pay</v>
      </c>
      <c r="E69" s="14">
        <f>Micky!B30</f>
        <v>1399.9</v>
      </c>
    </row>
    <row r="70" spans="1:5">
      <c r="A70" s="10" t="str">
        <f>Mark!A31</f>
        <v>Bonus/Incentives</v>
      </c>
      <c r="B70" s="14">
        <f>Mark!B31</f>
        <v>0</v>
      </c>
      <c r="D70" s="10" t="str">
        <f>Chardiya!A31</f>
        <v>Bonus/Incentives</v>
      </c>
      <c r="E70" s="14">
        <f>Micky!B31</f>
        <v>0</v>
      </c>
    </row>
    <row r="71" spans="1:5">
      <c r="A71" s="10" t="str">
        <f>Mark!A32</f>
        <v>Overtime Pay</v>
      </c>
      <c r="B71" s="14">
        <f>Mark!B32</f>
        <v>535.49999999999989</v>
      </c>
      <c r="D71" s="10" t="str">
        <f>Chardiya!A32</f>
        <v>Overtime Pay</v>
      </c>
      <c r="E71" s="14">
        <f>Micky!B32</f>
        <v>408.31200000000001</v>
      </c>
    </row>
    <row r="72" spans="1:5">
      <c r="A72" s="10" t="str">
        <f>Mark!A33</f>
        <v>Other Income</v>
      </c>
      <c r="B72" s="14">
        <f>Mark!B33</f>
        <v>0</v>
      </c>
      <c r="D72" s="10" t="str">
        <f>Chardiya!A33</f>
        <v>Other Income</v>
      </c>
      <c r="E72" s="14">
        <f>Micky!B33</f>
        <v>0</v>
      </c>
    </row>
    <row r="73" spans="1:5">
      <c r="A73" s="10"/>
      <c r="B73" s="14"/>
      <c r="D73" s="10"/>
      <c r="E73" s="14"/>
    </row>
    <row r="74" spans="1:5">
      <c r="A74" s="10"/>
      <c r="B74" s="14"/>
      <c r="D74" s="10"/>
      <c r="E74" s="14"/>
    </row>
    <row r="75" spans="1:5">
      <c r="A75" s="10" t="str">
        <f>Mark!A36</f>
        <v>Gross Pay</v>
      </c>
      <c r="B75" s="14">
        <f>Mark!B36</f>
        <v>2155.5</v>
      </c>
      <c r="D75" s="10" t="str">
        <f>Chardiya!A36</f>
        <v>Gross Pay</v>
      </c>
      <c r="E75" s="14">
        <f>Micky!B36</f>
        <v>1808.212</v>
      </c>
    </row>
    <row r="76" spans="1:5">
      <c r="A76" s="10" t="str">
        <f>Mark!A37</f>
        <v>Deductions</v>
      </c>
      <c r="B76" s="14">
        <f>Mark!B37</f>
        <v>0</v>
      </c>
      <c r="D76" s="10" t="str">
        <f>Chardiya!A37</f>
        <v>Deductions</v>
      </c>
      <c r="E76" s="14">
        <f>Micky!B37</f>
        <v>0</v>
      </c>
    </row>
    <row r="77" spans="1:5">
      <c r="A77" s="10" t="str">
        <f>Mark!A38</f>
        <v>WH Tax</v>
      </c>
      <c r="B77" s="14">
        <f>Mark!B38</f>
        <v>0</v>
      </c>
      <c r="D77" s="10" t="str">
        <f>Chardiya!A38</f>
        <v>WH Tax</v>
      </c>
      <c r="E77" s="14">
        <f>Micky!B38</f>
        <v>0</v>
      </c>
    </row>
    <row r="78" spans="1:5">
      <c r="A78" s="10"/>
      <c r="B78" s="14"/>
      <c r="D78" s="10"/>
      <c r="E78" s="14"/>
    </row>
    <row r="79" spans="1:5">
      <c r="A79" s="13" t="str">
        <f>Mark!A40</f>
        <v>Net Pay</v>
      </c>
      <c r="B79" s="14">
        <f>Mark!B40</f>
        <v>2155.5</v>
      </c>
      <c r="D79" s="13" t="str">
        <f>Chardiya!A40</f>
        <v>Net Pay</v>
      </c>
      <c r="E79" s="14">
        <f>Micky!B40</f>
        <v>1808.212</v>
      </c>
    </row>
    <row r="82" spans="1:5" ht="17.399999999999999">
      <c r="A82" s="34" t="s">
        <v>40</v>
      </c>
      <c r="B82" s="34"/>
      <c r="D82" s="34" t="s">
        <v>40</v>
      </c>
      <c r="E82" s="34"/>
    </row>
    <row r="83" spans="1:5">
      <c r="A83" s="10" t="str">
        <f>Lenard!A24</f>
        <v>Name:</v>
      </c>
      <c r="B83" s="10" t="str">
        <f>Lenard!B24</f>
        <v>Lenard</v>
      </c>
      <c r="D83" s="10" t="str">
        <f>David!A24</f>
        <v>Name:</v>
      </c>
      <c r="E83" s="10" t="str">
        <f>David!B24</f>
        <v>David</v>
      </c>
    </row>
    <row r="84" spans="1:5">
      <c r="A84" s="10" t="str">
        <f>Lenard!A25</f>
        <v>Job Title:</v>
      </c>
      <c r="B84" s="10" t="str">
        <f>Lenard!B25</f>
        <v>Staff</v>
      </c>
      <c r="D84" s="10" t="str">
        <f>David!A25</f>
        <v>Job Title:</v>
      </c>
      <c r="E84" s="10" t="str">
        <f>David!B25</f>
        <v>Staff</v>
      </c>
    </row>
    <row r="85" spans="1:5">
      <c r="A85" s="10" t="str">
        <f>Lenard!A26</f>
        <v>Payment Date:</v>
      </c>
      <c r="B85" s="19">
        <f>Lenard!B26</f>
        <v>46076</v>
      </c>
      <c r="D85" s="10" t="str">
        <f>David!A26</f>
        <v>Payment Date:</v>
      </c>
      <c r="E85" s="19">
        <f>David!B26</f>
        <v>46069</v>
      </c>
    </row>
    <row r="86" spans="1:5">
      <c r="A86" s="10" t="str">
        <f>Lenard!A27</f>
        <v>Cut Off Period:</v>
      </c>
      <c r="B86" s="10" t="str">
        <f>Lenard!B27</f>
        <v>Apr-20 to Apr-26, 2026</v>
      </c>
      <c r="D86" s="10" t="str">
        <f>David!A27</f>
        <v>Cut Off Period:</v>
      </c>
      <c r="E86" s="10" t="str">
        <f>David!B27</f>
        <v>Apr-20 to Apr-26, 2026</v>
      </c>
    </row>
    <row r="87" spans="1:5">
      <c r="A87" s="10" t="str">
        <f>Lenard!A28</f>
        <v>Days Worked</v>
      </c>
      <c r="B87" s="10">
        <f>Lenard!B28</f>
        <v>5</v>
      </c>
      <c r="D87" s="10" t="str">
        <f>David!A28</f>
        <v>Days Worked</v>
      </c>
      <c r="E87" s="10">
        <f>David!B28</f>
        <v>6</v>
      </c>
    </row>
    <row r="88" spans="1:5">
      <c r="A88" s="10" t="str">
        <f>Lenard!A29</f>
        <v>Adjustments</v>
      </c>
      <c r="B88" s="10"/>
      <c r="D88" s="10" t="str">
        <f>David!A29</f>
        <v>Adjustments</v>
      </c>
      <c r="E88" s="10"/>
    </row>
    <row r="89" spans="1:5">
      <c r="A89" s="10" t="str">
        <f>Lenard!A30</f>
        <v>Basic Pay</v>
      </c>
      <c r="B89" s="14">
        <f>Lenard!B30</f>
        <v>658.08233333333317</v>
      </c>
      <c r="D89" s="10" t="str">
        <f>David!A30</f>
        <v>Basic Pay</v>
      </c>
      <c r="E89" s="14">
        <f>David!B30</f>
        <v>0</v>
      </c>
    </row>
    <row r="90" spans="1:5">
      <c r="A90" s="10" t="str">
        <f>Lenard!A31</f>
        <v>Bonus/Incentives</v>
      </c>
      <c r="B90" s="14">
        <f>Lenard!B31</f>
        <v>0</v>
      </c>
      <c r="D90" s="10" t="str">
        <f>David!A31</f>
        <v>Bonus/Incentives</v>
      </c>
      <c r="E90" s="14">
        <f>David!B31</f>
        <v>0</v>
      </c>
    </row>
    <row r="91" spans="1:5">
      <c r="A91" s="10" t="str">
        <f>Lenard!A32</f>
        <v>Overtime Pay</v>
      </c>
      <c r="B91" s="14">
        <f>Lenard!B32</f>
        <v>54.661200000000015</v>
      </c>
      <c r="D91" s="10" t="str">
        <f>David!A32</f>
        <v>Overtime Pay</v>
      </c>
      <c r="E91" s="14">
        <f>David!B32</f>
        <v>0</v>
      </c>
    </row>
    <row r="92" spans="1:5">
      <c r="A92" s="10" t="str">
        <f>Lenard!A33</f>
        <v>Other Income</v>
      </c>
      <c r="B92" s="14">
        <f>Lenard!B33</f>
        <v>0</v>
      </c>
      <c r="D92" s="10" t="str">
        <f>David!A33</f>
        <v>Other Income</v>
      </c>
      <c r="E92" s="14">
        <f>David!B33</f>
        <v>0</v>
      </c>
    </row>
    <row r="93" spans="1:5">
      <c r="A93" s="10"/>
      <c r="B93" s="14"/>
      <c r="D93" s="10">
        <f>David!A34</f>
        <v>0</v>
      </c>
      <c r="E93" s="14"/>
    </row>
    <row r="94" spans="1:5">
      <c r="A94" s="10"/>
      <c r="B94" s="14"/>
      <c r="D94" s="10"/>
      <c r="E94" s="14"/>
    </row>
    <row r="95" spans="1:5">
      <c r="A95" s="10" t="str">
        <f>Lenard!A36</f>
        <v>Gross Pay</v>
      </c>
      <c r="B95" s="14">
        <f>Lenard!B36</f>
        <v>746.1035333333333</v>
      </c>
      <c r="D95" s="10" t="str">
        <f>David!A36</f>
        <v>Gross Pay</v>
      </c>
      <c r="E95" s="14">
        <f>David!B36</f>
        <v>2570</v>
      </c>
    </row>
    <row r="96" spans="1:5">
      <c r="A96" s="10" t="str">
        <f>Lenard!A37</f>
        <v>Deductions</v>
      </c>
      <c r="B96" s="14">
        <f>Lenard!B37</f>
        <v>0</v>
      </c>
      <c r="D96" s="10" t="str">
        <f>David!A37</f>
        <v>Deductions</v>
      </c>
      <c r="E96" s="14">
        <f>David!B37</f>
        <v>0</v>
      </c>
    </row>
    <row r="97" spans="1:5">
      <c r="A97" s="10" t="str">
        <f>Lenard!A38</f>
        <v>WH Tax</v>
      </c>
      <c r="B97" s="14">
        <f>Lenard!B38</f>
        <v>0</v>
      </c>
      <c r="D97" s="10" t="str">
        <f>David!A38</f>
        <v>WH Tax</v>
      </c>
      <c r="E97" s="14">
        <f>David!B38</f>
        <v>0</v>
      </c>
    </row>
    <row r="98" spans="1:5">
      <c r="A98" s="10"/>
      <c r="B98" s="14"/>
      <c r="D98" s="10"/>
      <c r="E98" s="14"/>
    </row>
    <row r="99" spans="1:5">
      <c r="A99" s="10" t="str">
        <f>Lenard!A40</f>
        <v>Net Pay</v>
      </c>
      <c r="B99" s="14">
        <f>Lenard!B40</f>
        <v>746.1035333333333</v>
      </c>
      <c r="D99" s="10" t="str">
        <f>David!A40</f>
        <v>Net Pay</v>
      </c>
      <c r="E99" s="14">
        <f>David!B40</f>
        <v>2570</v>
      </c>
    </row>
  </sheetData>
  <mergeCells count="10">
    <mergeCell ref="A82:B82"/>
    <mergeCell ref="D82:E82"/>
    <mergeCell ref="A62:B62"/>
    <mergeCell ref="D62:E62"/>
    <mergeCell ref="A1:B1"/>
    <mergeCell ref="D1:E1"/>
    <mergeCell ref="A21:B21"/>
    <mergeCell ref="D21:E21"/>
    <mergeCell ref="A42:B42"/>
    <mergeCell ref="D42:E42"/>
  </mergeCells>
  <pageMargins left="0.7" right="0.7" top="0.75" bottom="0.75" header="0.3" footer="0.3"/>
  <pageSetup paperSize="9" orientation="portrait" horizontalDpi="0" verticalDpi="0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A87-3F5C-4C69-8F65-8726D0328C63}">
  <dimension ref="A1:G61"/>
  <sheetViews>
    <sheetView workbookViewId="0">
      <selection activeCell="D16" sqref="D16:D17"/>
    </sheetView>
  </sheetViews>
  <sheetFormatPr defaultRowHeight="14.4"/>
  <cols>
    <col min="1" max="1" width="9.33203125" bestFit="1" customWidth="1"/>
    <col min="2" max="2" width="6.6640625" bestFit="1" customWidth="1"/>
    <col min="3" max="3" width="8.77734375" bestFit="1" customWidth="1"/>
    <col min="4" max="7" width="5.6640625" bestFit="1" customWidth="1"/>
  </cols>
  <sheetData>
    <row r="1" spans="1:7">
      <c r="A1" s="22" t="s">
        <v>169</v>
      </c>
      <c r="B1" s="22" t="s">
        <v>79</v>
      </c>
      <c r="C1" s="4" t="s">
        <v>130</v>
      </c>
      <c r="D1" s="23" t="s">
        <v>135</v>
      </c>
      <c r="E1" s="23" t="s">
        <v>136</v>
      </c>
      <c r="F1" s="23" t="s">
        <v>81</v>
      </c>
      <c r="G1" s="23" t="s">
        <v>81</v>
      </c>
    </row>
    <row r="2" spans="1:7">
      <c r="A2" s="22" t="s">
        <v>169</v>
      </c>
      <c r="B2" s="22" t="s">
        <v>79</v>
      </c>
      <c r="C2" s="4" t="s">
        <v>131</v>
      </c>
      <c r="D2" s="4" t="s">
        <v>137</v>
      </c>
      <c r="E2" s="23" t="s">
        <v>138</v>
      </c>
      <c r="F2" s="23" t="s">
        <v>81</v>
      </c>
      <c r="G2" s="23" t="s">
        <v>81</v>
      </c>
    </row>
    <row r="3" spans="1:7">
      <c r="A3" s="22" t="s">
        <v>169</v>
      </c>
      <c r="B3" s="22" t="s">
        <v>79</v>
      </c>
      <c r="C3" s="4" t="s">
        <v>132</v>
      </c>
      <c r="D3" s="23" t="s">
        <v>122</v>
      </c>
      <c r="E3" s="23" t="s">
        <v>139</v>
      </c>
      <c r="F3" s="23" t="s">
        <v>81</v>
      </c>
      <c r="G3" s="23" t="s">
        <v>81</v>
      </c>
    </row>
    <row r="4" spans="1:7">
      <c r="A4" s="22" t="s">
        <v>169</v>
      </c>
      <c r="B4" s="22" t="s">
        <v>79</v>
      </c>
      <c r="C4" s="4" t="s">
        <v>133</v>
      </c>
      <c r="D4" s="23" t="s">
        <v>140</v>
      </c>
      <c r="E4" s="23" t="s">
        <v>141</v>
      </c>
      <c r="F4" s="23" t="s">
        <v>81</v>
      </c>
      <c r="G4" s="23" t="s">
        <v>81</v>
      </c>
    </row>
    <row r="5" spans="1:7">
      <c r="A5" s="22" t="s">
        <v>169</v>
      </c>
      <c r="B5" s="22" t="s">
        <v>79</v>
      </c>
      <c r="C5" s="4" t="s">
        <v>134</v>
      </c>
      <c r="D5" s="23" t="s">
        <v>81</v>
      </c>
      <c r="E5" s="23" t="s">
        <v>142</v>
      </c>
      <c r="F5" s="23" t="s">
        <v>81</v>
      </c>
      <c r="G5" s="23" t="s">
        <v>81</v>
      </c>
    </row>
    <row r="6" spans="1:7">
      <c r="A6" s="22" t="s">
        <v>107</v>
      </c>
      <c r="B6" s="22" t="s">
        <v>79</v>
      </c>
      <c r="C6" s="4" t="s">
        <v>128</v>
      </c>
      <c r="D6" s="23" t="s">
        <v>81</v>
      </c>
      <c r="E6" s="23" t="s">
        <v>81</v>
      </c>
      <c r="F6" s="23" t="s">
        <v>81</v>
      </c>
      <c r="G6" s="23" t="s">
        <v>81</v>
      </c>
    </row>
    <row r="7" spans="1:7">
      <c r="A7" s="22" t="s">
        <v>107</v>
      </c>
      <c r="B7" s="22" t="s">
        <v>79</v>
      </c>
      <c r="C7" s="4" t="s">
        <v>129</v>
      </c>
      <c r="D7" s="23" t="s">
        <v>81</v>
      </c>
      <c r="E7" s="23" t="s">
        <v>81</v>
      </c>
      <c r="F7" s="23" t="s">
        <v>81</v>
      </c>
      <c r="G7" s="23" t="s">
        <v>81</v>
      </c>
    </row>
    <row r="8" spans="1:7">
      <c r="A8" s="22" t="s">
        <v>107</v>
      </c>
      <c r="B8" s="22" t="s">
        <v>79</v>
      </c>
      <c r="C8" s="4" t="s">
        <v>130</v>
      </c>
      <c r="D8" s="23" t="s">
        <v>81</v>
      </c>
      <c r="E8" s="23" t="s">
        <v>81</v>
      </c>
      <c r="F8" s="23" t="s">
        <v>81</v>
      </c>
      <c r="G8" s="23" t="s">
        <v>81</v>
      </c>
    </row>
    <row r="9" spans="1:7">
      <c r="A9" s="22" t="s">
        <v>107</v>
      </c>
      <c r="B9" s="22" t="s">
        <v>79</v>
      </c>
      <c r="C9" s="4" t="s">
        <v>131</v>
      </c>
      <c r="D9" s="23" t="s">
        <v>81</v>
      </c>
      <c r="E9" s="23" t="s">
        <v>81</v>
      </c>
      <c r="F9" s="23" t="s">
        <v>81</v>
      </c>
      <c r="G9" s="23" t="s">
        <v>81</v>
      </c>
    </row>
    <row r="10" spans="1:7">
      <c r="A10" s="22" t="s">
        <v>107</v>
      </c>
      <c r="B10" s="22" t="s">
        <v>79</v>
      </c>
      <c r="C10" s="4" t="s">
        <v>132</v>
      </c>
      <c r="D10" s="23" t="s">
        <v>81</v>
      </c>
      <c r="E10" s="23" t="s">
        <v>81</v>
      </c>
      <c r="F10" s="23" t="s">
        <v>81</v>
      </c>
      <c r="G10" s="23" t="s">
        <v>81</v>
      </c>
    </row>
    <row r="11" spans="1:7">
      <c r="A11" s="22" t="s">
        <v>107</v>
      </c>
      <c r="B11" s="22" t="s">
        <v>79</v>
      </c>
      <c r="C11" s="4" t="s">
        <v>133</v>
      </c>
      <c r="D11" s="23" t="s">
        <v>143</v>
      </c>
      <c r="E11" s="23" t="s">
        <v>55</v>
      </c>
      <c r="F11" s="23" t="s">
        <v>81</v>
      </c>
      <c r="G11" s="23" t="s">
        <v>81</v>
      </c>
    </row>
    <row r="12" spans="1:7">
      <c r="A12" s="22" t="s">
        <v>107</v>
      </c>
      <c r="B12" s="22" t="s">
        <v>79</v>
      </c>
      <c r="C12" s="4" t="s">
        <v>134</v>
      </c>
      <c r="D12" s="4" t="s">
        <v>144</v>
      </c>
      <c r="E12" s="23" t="s">
        <v>119</v>
      </c>
      <c r="F12" s="23" t="s">
        <v>81</v>
      </c>
      <c r="G12" s="23" t="s">
        <v>81</v>
      </c>
    </row>
    <row r="13" spans="1:7">
      <c r="A13" s="22" t="s">
        <v>90</v>
      </c>
      <c r="B13" s="22" t="s">
        <v>79</v>
      </c>
      <c r="C13" s="4" t="s">
        <v>128</v>
      </c>
      <c r="D13" s="23" t="s">
        <v>81</v>
      </c>
      <c r="E13" s="23" t="s">
        <v>81</v>
      </c>
      <c r="F13" s="23" t="s">
        <v>81</v>
      </c>
      <c r="G13" s="23" t="s">
        <v>81</v>
      </c>
    </row>
    <row r="14" spans="1:7">
      <c r="A14" s="22" t="s">
        <v>90</v>
      </c>
      <c r="B14" s="22" t="s">
        <v>79</v>
      </c>
      <c r="C14" s="4" t="s">
        <v>129</v>
      </c>
      <c r="D14" s="23" t="s">
        <v>81</v>
      </c>
      <c r="E14" s="23" t="s">
        <v>81</v>
      </c>
      <c r="F14" s="23" t="s">
        <v>81</v>
      </c>
      <c r="G14" s="23" t="s">
        <v>81</v>
      </c>
    </row>
    <row r="15" spans="1:7">
      <c r="A15" s="22" t="s">
        <v>90</v>
      </c>
      <c r="B15" s="22" t="s">
        <v>79</v>
      </c>
      <c r="C15" s="4" t="s">
        <v>130</v>
      </c>
      <c r="D15" s="23" t="s">
        <v>145</v>
      </c>
      <c r="E15" s="23" t="s">
        <v>146</v>
      </c>
      <c r="F15" s="23" t="s">
        <v>81</v>
      </c>
      <c r="G15" s="23" t="s">
        <v>81</v>
      </c>
    </row>
    <row r="16" spans="1:7">
      <c r="A16" s="22" t="s">
        <v>90</v>
      </c>
      <c r="B16" s="22" t="s">
        <v>79</v>
      </c>
      <c r="C16" s="4" t="s">
        <v>131</v>
      </c>
      <c r="D16" s="23" t="s">
        <v>120</v>
      </c>
      <c r="E16" s="23" t="s">
        <v>121</v>
      </c>
      <c r="F16" s="23" t="s">
        <v>81</v>
      </c>
      <c r="G16" s="23" t="s">
        <v>81</v>
      </c>
    </row>
    <row r="17" spans="1:7">
      <c r="A17" s="22" t="s">
        <v>90</v>
      </c>
      <c r="B17" s="22" t="s">
        <v>79</v>
      </c>
      <c r="C17" s="4" t="s">
        <v>132</v>
      </c>
      <c r="D17" s="23" t="s">
        <v>123</v>
      </c>
      <c r="E17" s="23" t="s">
        <v>147</v>
      </c>
      <c r="F17" s="23" t="s">
        <v>81</v>
      </c>
      <c r="G17" s="23" t="s">
        <v>81</v>
      </c>
    </row>
    <row r="18" spans="1:7">
      <c r="A18" s="22" t="s">
        <v>90</v>
      </c>
      <c r="B18" s="22" t="s">
        <v>79</v>
      </c>
      <c r="C18" s="4" t="s">
        <v>133</v>
      </c>
      <c r="D18" s="23" t="s">
        <v>81</v>
      </c>
      <c r="E18" s="23" t="s">
        <v>81</v>
      </c>
      <c r="F18" s="23" t="s">
        <v>81</v>
      </c>
      <c r="G18" s="23" t="s">
        <v>81</v>
      </c>
    </row>
    <row r="19" spans="1:7">
      <c r="A19" s="22" t="s">
        <v>90</v>
      </c>
      <c r="B19" s="22" t="s">
        <v>79</v>
      </c>
      <c r="C19" s="4" t="s">
        <v>134</v>
      </c>
      <c r="D19" s="23" t="s">
        <v>81</v>
      </c>
      <c r="E19" s="23" t="s">
        <v>81</v>
      </c>
      <c r="F19" s="23" t="s">
        <v>81</v>
      </c>
      <c r="G19" s="23" t="s">
        <v>81</v>
      </c>
    </row>
    <row r="20" spans="1:7">
      <c r="A20" s="22" t="s">
        <v>91</v>
      </c>
      <c r="B20" s="22" t="s">
        <v>79</v>
      </c>
      <c r="C20" s="4" t="s">
        <v>128</v>
      </c>
      <c r="D20" s="23" t="s">
        <v>81</v>
      </c>
      <c r="E20" s="23" t="s">
        <v>81</v>
      </c>
      <c r="F20" s="23" t="s">
        <v>81</v>
      </c>
      <c r="G20" s="23" t="s">
        <v>81</v>
      </c>
    </row>
    <row r="21" spans="1:7">
      <c r="A21" s="22" t="s">
        <v>91</v>
      </c>
      <c r="B21" s="22" t="s">
        <v>79</v>
      </c>
      <c r="C21" s="4" t="s">
        <v>129</v>
      </c>
      <c r="D21" s="23" t="s">
        <v>81</v>
      </c>
      <c r="E21" s="23" t="s">
        <v>81</v>
      </c>
      <c r="F21" s="23" t="s">
        <v>81</v>
      </c>
      <c r="G21" s="23" t="s">
        <v>81</v>
      </c>
    </row>
    <row r="22" spans="1:7">
      <c r="A22" s="22" t="s">
        <v>91</v>
      </c>
      <c r="B22" s="22" t="s">
        <v>79</v>
      </c>
      <c r="C22" s="4" t="s">
        <v>130</v>
      </c>
      <c r="D22" s="23" t="s">
        <v>81</v>
      </c>
      <c r="E22" s="23" t="s">
        <v>81</v>
      </c>
      <c r="F22" s="23" t="s">
        <v>81</v>
      </c>
      <c r="G22" s="23" t="s">
        <v>81</v>
      </c>
    </row>
    <row r="23" spans="1:7">
      <c r="A23" s="22" t="s">
        <v>91</v>
      </c>
      <c r="B23" s="22" t="s">
        <v>79</v>
      </c>
      <c r="C23" s="4" t="s">
        <v>131</v>
      </c>
      <c r="D23" s="23" t="s">
        <v>148</v>
      </c>
      <c r="E23" s="23" t="s">
        <v>138</v>
      </c>
      <c r="F23" s="23" t="s">
        <v>81</v>
      </c>
      <c r="G23" s="23" t="s">
        <v>81</v>
      </c>
    </row>
    <row r="24" spans="1:7">
      <c r="A24" s="22" t="s">
        <v>91</v>
      </c>
      <c r="B24" s="22" t="s">
        <v>79</v>
      </c>
      <c r="C24" s="4" t="s">
        <v>132</v>
      </c>
      <c r="D24" s="4" t="s">
        <v>149</v>
      </c>
      <c r="E24" s="23" t="s">
        <v>150</v>
      </c>
      <c r="F24" s="23" t="s">
        <v>81</v>
      </c>
      <c r="G24" s="23" t="s">
        <v>81</v>
      </c>
    </row>
    <row r="25" spans="1:7">
      <c r="A25" s="22" t="s">
        <v>91</v>
      </c>
      <c r="B25" s="22" t="s">
        <v>79</v>
      </c>
      <c r="C25" s="4" t="s">
        <v>133</v>
      </c>
      <c r="D25" s="23" t="s">
        <v>143</v>
      </c>
      <c r="E25" s="23" t="s">
        <v>81</v>
      </c>
      <c r="F25" s="23" t="s">
        <v>81</v>
      </c>
      <c r="G25" s="23" t="s">
        <v>81</v>
      </c>
    </row>
    <row r="26" spans="1:7">
      <c r="A26" s="22" t="s">
        <v>91</v>
      </c>
      <c r="B26" s="22" t="s">
        <v>79</v>
      </c>
      <c r="C26" s="4" t="s">
        <v>134</v>
      </c>
      <c r="D26" s="23" t="s">
        <v>151</v>
      </c>
      <c r="E26" s="23" t="s">
        <v>152</v>
      </c>
      <c r="F26" s="23" t="s">
        <v>81</v>
      </c>
      <c r="G26" s="23" t="s">
        <v>81</v>
      </c>
    </row>
    <row r="27" spans="1:7">
      <c r="A27" s="22" t="s">
        <v>92</v>
      </c>
      <c r="B27" s="22" t="s">
        <v>79</v>
      </c>
      <c r="C27" s="4" t="s">
        <v>128</v>
      </c>
      <c r="D27" s="4" t="s">
        <v>153</v>
      </c>
      <c r="E27" s="23" t="s">
        <v>111</v>
      </c>
      <c r="F27" s="23" t="s">
        <v>81</v>
      </c>
      <c r="G27" s="23" t="s">
        <v>81</v>
      </c>
    </row>
    <row r="28" spans="1:7">
      <c r="A28" s="22" t="s">
        <v>92</v>
      </c>
      <c r="B28" s="22" t="s">
        <v>79</v>
      </c>
      <c r="C28" s="4" t="s">
        <v>129</v>
      </c>
      <c r="D28" s="4" t="s">
        <v>153</v>
      </c>
      <c r="E28" s="23" t="s">
        <v>154</v>
      </c>
      <c r="F28" s="23" t="s">
        <v>81</v>
      </c>
      <c r="G28" s="23" t="s">
        <v>81</v>
      </c>
    </row>
    <row r="29" spans="1:7">
      <c r="A29" s="22" t="s">
        <v>92</v>
      </c>
      <c r="B29" s="22" t="s">
        <v>79</v>
      </c>
      <c r="C29" s="4" t="s">
        <v>130</v>
      </c>
      <c r="D29" s="4" t="s">
        <v>155</v>
      </c>
      <c r="E29" s="23" t="s">
        <v>156</v>
      </c>
      <c r="F29" s="23" t="s">
        <v>81</v>
      </c>
      <c r="G29" s="23" t="s">
        <v>81</v>
      </c>
    </row>
    <row r="30" spans="1:7">
      <c r="A30" s="22" t="s">
        <v>92</v>
      </c>
      <c r="B30" s="22" t="s">
        <v>79</v>
      </c>
      <c r="C30" s="4" t="s">
        <v>131</v>
      </c>
      <c r="D30" s="4" t="s">
        <v>157</v>
      </c>
      <c r="E30" s="23" t="s">
        <v>158</v>
      </c>
      <c r="F30" s="23" t="s">
        <v>81</v>
      </c>
      <c r="G30" s="23" t="s">
        <v>81</v>
      </c>
    </row>
    <row r="31" spans="1:7">
      <c r="A31" s="22" t="s">
        <v>92</v>
      </c>
      <c r="B31" s="22" t="s">
        <v>79</v>
      </c>
      <c r="C31" s="4" t="s">
        <v>132</v>
      </c>
      <c r="D31" s="23" t="s">
        <v>81</v>
      </c>
      <c r="E31" s="23" t="s">
        <v>81</v>
      </c>
      <c r="F31" s="23" t="s">
        <v>81</v>
      </c>
      <c r="G31" s="23" t="s">
        <v>81</v>
      </c>
    </row>
    <row r="32" spans="1:7">
      <c r="A32" s="22" t="s">
        <v>92</v>
      </c>
      <c r="B32" s="22" t="s">
        <v>79</v>
      </c>
      <c r="C32" s="4" t="s">
        <v>133</v>
      </c>
      <c r="D32" s="23" t="s">
        <v>140</v>
      </c>
      <c r="E32" s="23" t="s">
        <v>159</v>
      </c>
      <c r="F32" s="23" t="s">
        <v>81</v>
      </c>
      <c r="G32" s="23" t="s">
        <v>81</v>
      </c>
    </row>
    <row r="33" spans="1:7">
      <c r="A33" s="22" t="s">
        <v>92</v>
      </c>
      <c r="B33" s="22" t="s">
        <v>79</v>
      </c>
      <c r="C33" s="4" t="s">
        <v>134</v>
      </c>
      <c r="D33" s="4" t="s">
        <v>160</v>
      </c>
      <c r="E33" s="23" t="s">
        <v>142</v>
      </c>
      <c r="F33" s="23" t="s">
        <v>81</v>
      </c>
      <c r="G33" s="23" t="s">
        <v>81</v>
      </c>
    </row>
    <row r="34" spans="1:7">
      <c r="A34" s="22" t="s">
        <v>170</v>
      </c>
      <c r="B34" s="22" t="s">
        <v>79</v>
      </c>
      <c r="C34" s="4" t="s">
        <v>128</v>
      </c>
      <c r="D34" s="23" t="s">
        <v>81</v>
      </c>
      <c r="E34" s="23" t="s">
        <v>81</v>
      </c>
      <c r="F34" s="23" t="s">
        <v>81</v>
      </c>
      <c r="G34" s="23" t="s">
        <v>81</v>
      </c>
    </row>
    <row r="35" spans="1:7">
      <c r="A35" s="22" t="s">
        <v>170</v>
      </c>
      <c r="B35" s="22" t="s">
        <v>79</v>
      </c>
      <c r="C35" s="4" t="s">
        <v>129</v>
      </c>
      <c r="D35" s="23" t="s">
        <v>81</v>
      </c>
      <c r="E35" s="23" t="s">
        <v>81</v>
      </c>
      <c r="F35" s="23" t="s">
        <v>81</v>
      </c>
      <c r="G35" s="23" t="s">
        <v>81</v>
      </c>
    </row>
    <row r="36" spans="1:7">
      <c r="A36" s="22" t="s">
        <v>170</v>
      </c>
      <c r="B36" s="22" t="s">
        <v>79</v>
      </c>
      <c r="C36" s="4" t="s">
        <v>130</v>
      </c>
      <c r="D36" s="4" t="s">
        <v>155</v>
      </c>
      <c r="E36" s="23" t="s">
        <v>163</v>
      </c>
      <c r="F36" s="23" t="s">
        <v>81</v>
      </c>
      <c r="G36" s="23" t="s">
        <v>81</v>
      </c>
    </row>
    <row r="37" spans="1:7">
      <c r="A37" s="22" t="s">
        <v>170</v>
      </c>
      <c r="B37" s="22" t="s">
        <v>79</v>
      </c>
      <c r="C37" s="4" t="s">
        <v>131</v>
      </c>
      <c r="D37" s="4" t="s">
        <v>157</v>
      </c>
      <c r="E37" s="23" t="s">
        <v>164</v>
      </c>
      <c r="F37" s="23" t="s">
        <v>81</v>
      </c>
      <c r="G37" s="23" t="s">
        <v>81</v>
      </c>
    </row>
    <row r="38" spans="1:7">
      <c r="A38" s="22" t="s">
        <v>170</v>
      </c>
      <c r="B38" s="22" t="s">
        <v>79</v>
      </c>
      <c r="C38" s="4" t="s">
        <v>132</v>
      </c>
      <c r="D38" s="4" t="s">
        <v>149</v>
      </c>
      <c r="E38" s="23" t="s">
        <v>150</v>
      </c>
      <c r="F38" s="23" t="s">
        <v>81</v>
      </c>
      <c r="G38" s="23" t="s">
        <v>81</v>
      </c>
    </row>
    <row r="39" spans="1:7">
      <c r="A39" s="22" t="s">
        <v>170</v>
      </c>
      <c r="B39" s="22" t="s">
        <v>79</v>
      </c>
      <c r="C39" s="4" t="s">
        <v>133</v>
      </c>
      <c r="D39" s="23" t="s">
        <v>140</v>
      </c>
      <c r="E39" s="23" t="s">
        <v>55</v>
      </c>
      <c r="F39" s="23" t="s">
        <v>81</v>
      </c>
      <c r="G39" s="23" t="s">
        <v>81</v>
      </c>
    </row>
    <row r="40" spans="1:7">
      <c r="A40" s="22" t="s">
        <v>170</v>
      </c>
      <c r="B40" s="22" t="s">
        <v>79</v>
      </c>
      <c r="C40" s="4" t="s">
        <v>134</v>
      </c>
      <c r="D40" s="23" t="s">
        <v>81</v>
      </c>
      <c r="E40" s="23" t="s">
        <v>81</v>
      </c>
      <c r="F40" s="23" t="s">
        <v>81</v>
      </c>
      <c r="G40" s="23" t="s">
        <v>81</v>
      </c>
    </row>
    <row r="41" spans="1:7">
      <c r="A41" s="22" t="s">
        <v>93</v>
      </c>
      <c r="B41" s="22" t="s">
        <v>79</v>
      </c>
      <c r="C41" s="4" t="s">
        <v>128</v>
      </c>
      <c r="D41" s="23" t="s">
        <v>81</v>
      </c>
      <c r="E41" s="23" t="s">
        <v>81</v>
      </c>
      <c r="F41" s="23" t="s">
        <v>81</v>
      </c>
      <c r="G41" s="23" t="s">
        <v>81</v>
      </c>
    </row>
    <row r="42" spans="1:7">
      <c r="A42" s="22" t="s">
        <v>93</v>
      </c>
      <c r="B42" s="22" t="s">
        <v>79</v>
      </c>
      <c r="C42" s="4" t="s">
        <v>129</v>
      </c>
      <c r="D42" s="23" t="s">
        <v>81</v>
      </c>
      <c r="E42" s="23" t="s">
        <v>81</v>
      </c>
      <c r="F42" s="23" t="s">
        <v>81</v>
      </c>
      <c r="G42" s="23" t="s">
        <v>81</v>
      </c>
    </row>
    <row r="43" spans="1:7">
      <c r="A43" s="22" t="s">
        <v>93</v>
      </c>
      <c r="B43" s="22" t="s">
        <v>79</v>
      </c>
      <c r="C43" s="4" t="s">
        <v>130</v>
      </c>
      <c r="D43" s="23" t="s">
        <v>81</v>
      </c>
      <c r="E43" s="23" t="s">
        <v>81</v>
      </c>
      <c r="F43" s="23" t="s">
        <v>81</v>
      </c>
      <c r="G43" s="23" t="s">
        <v>81</v>
      </c>
    </row>
    <row r="44" spans="1:7">
      <c r="A44" s="22" t="s">
        <v>93</v>
      </c>
      <c r="B44" s="22" t="s">
        <v>79</v>
      </c>
      <c r="C44" s="4" t="s">
        <v>131</v>
      </c>
      <c r="D44" s="23" t="s">
        <v>81</v>
      </c>
      <c r="E44" s="23" t="s">
        <v>81</v>
      </c>
      <c r="F44" s="23" t="s">
        <v>81</v>
      </c>
      <c r="G44" s="23" t="s">
        <v>81</v>
      </c>
    </row>
    <row r="45" spans="1:7">
      <c r="A45" s="22" t="s">
        <v>93</v>
      </c>
      <c r="B45" s="22" t="s">
        <v>79</v>
      </c>
      <c r="C45" s="4" t="s">
        <v>132</v>
      </c>
      <c r="D45" s="23" t="s">
        <v>81</v>
      </c>
      <c r="E45" s="23" t="s">
        <v>81</v>
      </c>
      <c r="F45" s="23" t="s">
        <v>81</v>
      </c>
      <c r="G45" s="23" t="s">
        <v>81</v>
      </c>
    </row>
    <row r="46" spans="1:7">
      <c r="A46" s="22" t="s">
        <v>93</v>
      </c>
      <c r="B46" s="22" t="s">
        <v>79</v>
      </c>
      <c r="C46" s="4" t="s">
        <v>133</v>
      </c>
      <c r="D46" s="23" t="s">
        <v>81</v>
      </c>
      <c r="E46" s="23" t="s">
        <v>81</v>
      </c>
      <c r="F46" s="23" t="s">
        <v>81</v>
      </c>
      <c r="G46" s="23" t="s">
        <v>81</v>
      </c>
    </row>
    <row r="47" spans="1:7">
      <c r="A47" s="22" t="s">
        <v>93</v>
      </c>
      <c r="B47" s="22" t="s">
        <v>79</v>
      </c>
      <c r="C47" s="4" t="s">
        <v>134</v>
      </c>
      <c r="D47" s="23" t="s">
        <v>81</v>
      </c>
      <c r="E47" s="23" t="s">
        <v>81</v>
      </c>
      <c r="F47" s="23" t="s">
        <v>81</v>
      </c>
      <c r="G47" s="23" t="s">
        <v>81</v>
      </c>
    </row>
    <row r="48" spans="1:7">
      <c r="A48" s="22" t="s">
        <v>94</v>
      </c>
      <c r="B48" s="22" t="s">
        <v>79</v>
      </c>
      <c r="C48" s="4" t="s">
        <v>128</v>
      </c>
      <c r="D48" s="23" t="s">
        <v>76</v>
      </c>
      <c r="E48" s="23" t="s">
        <v>81</v>
      </c>
      <c r="F48" s="23" t="s">
        <v>81</v>
      </c>
      <c r="G48" s="23" t="s">
        <v>81</v>
      </c>
    </row>
    <row r="49" spans="1:7">
      <c r="A49" s="22" t="s">
        <v>94</v>
      </c>
      <c r="B49" s="22" t="s">
        <v>79</v>
      </c>
      <c r="C49" s="4" t="s">
        <v>129</v>
      </c>
      <c r="D49" s="23" t="s">
        <v>171</v>
      </c>
      <c r="E49" s="23" t="s">
        <v>172</v>
      </c>
      <c r="F49" s="23" t="s">
        <v>81</v>
      </c>
      <c r="G49" s="23" t="s">
        <v>81</v>
      </c>
    </row>
    <row r="50" spans="1:7">
      <c r="A50" s="22" t="s">
        <v>94</v>
      </c>
      <c r="B50" s="22" t="s">
        <v>79</v>
      </c>
      <c r="C50" s="4" t="s">
        <v>130</v>
      </c>
      <c r="D50" s="23" t="s">
        <v>173</v>
      </c>
      <c r="E50" s="23" t="s">
        <v>121</v>
      </c>
      <c r="F50" s="23" t="s">
        <v>81</v>
      </c>
      <c r="G50" s="23" t="s">
        <v>81</v>
      </c>
    </row>
    <row r="51" spans="1:7">
      <c r="A51" s="22" t="s">
        <v>94</v>
      </c>
      <c r="B51" s="22" t="s">
        <v>79</v>
      </c>
      <c r="C51" s="4" t="s">
        <v>131</v>
      </c>
      <c r="D51" s="23" t="s">
        <v>77</v>
      </c>
      <c r="E51" s="23" t="s">
        <v>164</v>
      </c>
      <c r="F51" s="23" t="s">
        <v>81</v>
      </c>
      <c r="G51" s="23" t="s">
        <v>81</v>
      </c>
    </row>
    <row r="52" spans="1:7">
      <c r="A52" s="22" t="s">
        <v>94</v>
      </c>
      <c r="B52" s="22" t="s">
        <v>79</v>
      </c>
      <c r="C52" s="4" t="s">
        <v>132</v>
      </c>
      <c r="D52" s="23" t="s">
        <v>75</v>
      </c>
      <c r="E52" s="23" t="s">
        <v>174</v>
      </c>
      <c r="F52" s="23" t="s">
        <v>81</v>
      </c>
      <c r="G52" s="23" t="s">
        <v>81</v>
      </c>
    </row>
    <row r="53" spans="1:7">
      <c r="A53" s="22" t="s">
        <v>94</v>
      </c>
      <c r="B53" s="22" t="s">
        <v>79</v>
      </c>
      <c r="C53" s="4" t="s">
        <v>133</v>
      </c>
      <c r="D53" s="23" t="s">
        <v>81</v>
      </c>
      <c r="E53" s="23" t="s">
        <v>81</v>
      </c>
      <c r="F53" s="23" t="s">
        <v>81</v>
      </c>
      <c r="G53" s="23" t="s">
        <v>81</v>
      </c>
    </row>
    <row r="54" spans="1:7">
      <c r="A54" s="22" t="s">
        <v>94</v>
      </c>
      <c r="B54" s="22" t="s">
        <v>79</v>
      </c>
      <c r="C54" s="4" t="s">
        <v>134</v>
      </c>
      <c r="D54" s="23" t="s">
        <v>175</v>
      </c>
      <c r="E54" s="23" t="s">
        <v>176</v>
      </c>
      <c r="F54" s="23" t="s">
        <v>81</v>
      </c>
      <c r="G54" s="23" t="s">
        <v>81</v>
      </c>
    </row>
    <row r="55" spans="1:7">
      <c r="A55" s="22" t="s">
        <v>95</v>
      </c>
      <c r="B55" s="22" t="s">
        <v>79</v>
      </c>
      <c r="C55" s="4" t="s">
        <v>128</v>
      </c>
      <c r="D55" s="23" t="s">
        <v>77</v>
      </c>
      <c r="E55" s="23" t="s">
        <v>165</v>
      </c>
      <c r="F55" s="23" t="s">
        <v>81</v>
      </c>
      <c r="G55" s="23" t="s">
        <v>81</v>
      </c>
    </row>
    <row r="56" spans="1:7">
      <c r="A56" s="22" t="s">
        <v>95</v>
      </c>
      <c r="B56" s="22" t="s">
        <v>79</v>
      </c>
      <c r="C56" s="4" t="s">
        <v>129</v>
      </c>
      <c r="D56" s="23" t="s">
        <v>63</v>
      </c>
      <c r="E56" s="23" t="s">
        <v>159</v>
      </c>
      <c r="F56" s="23" t="s">
        <v>81</v>
      </c>
      <c r="G56" s="23" t="s">
        <v>81</v>
      </c>
    </row>
    <row r="57" spans="1:7">
      <c r="A57" s="22" t="s">
        <v>95</v>
      </c>
      <c r="B57" s="22" t="s">
        <v>79</v>
      </c>
      <c r="C57" s="4" t="s">
        <v>130</v>
      </c>
      <c r="D57" s="23" t="s">
        <v>125</v>
      </c>
      <c r="E57" s="23" t="s">
        <v>124</v>
      </c>
      <c r="F57" s="23" t="s">
        <v>81</v>
      </c>
      <c r="G57" s="23" t="s">
        <v>81</v>
      </c>
    </row>
    <row r="58" spans="1:7">
      <c r="A58" s="22" t="s">
        <v>95</v>
      </c>
      <c r="B58" s="22" t="s">
        <v>79</v>
      </c>
      <c r="C58" s="4" t="s">
        <v>131</v>
      </c>
      <c r="D58" s="23" t="s">
        <v>81</v>
      </c>
      <c r="E58" s="23" t="s">
        <v>81</v>
      </c>
      <c r="F58" s="23" t="s">
        <v>81</v>
      </c>
      <c r="G58" s="23" t="s">
        <v>81</v>
      </c>
    </row>
    <row r="59" spans="1:7">
      <c r="A59" s="22" t="s">
        <v>95</v>
      </c>
      <c r="B59" s="22" t="s">
        <v>79</v>
      </c>
      <c r="C59" s="4" t="s">
        <v>132</v>
      </c>
      <c r="D59" s="23" t="s">
        <v>81</v>
      </c>
      <c r="E59" s="23" t="s">
        <v>139</v>
      </c>
      <c r="F59" s="23" t="s">
        <v>81</v>
      </c>
      <c r="G59" s="23" t="s">
        <v>81</v>
      </c>
    </row>
    <row r="60" spans="1:7">
      <c r="A60" s="22" t="s">
        <v>95</v>
      </c>
      <c r="B60" s="22" t="s">
        <v>79</v>
      </c>
      <c r="C60" s="4" t="s">
        <v>133</v>
      </c>
      <c r="D60" s="23" t="s">
        <v>166</v>
      </c>
      <c r="E60" s="23" t="s">
        <v>159</v>
      </c>
      <c r="F60" s="23" t="s">
        <v>81</v>
      </c>
      <c r="G60" s="23" t="s">
        <v>81</v>
      </c>
    </row>
    <row r="61" spans="1:7">
      <c r="A61" s="22" t="s">
        <v>95</v>
      </c>
      <c r="B61" s="22" t="s">
        <v>79</v>
      </c>
      <c r="C61" s="4" t="s">
        <v>134</v>
      </c>
      <c r="D61" s="23" t="s">
        <v>151</v>
      </c>
      <c r="E61" s="23" t="s">
        <v>142</v>
      </c>
      <c r="F61" s="23" t="s">
        <v>81</v>
      </c>
      <c r="G61" s="23" t="s">
        <v>81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A26D-E885-4073-A9A8-BF4E8B1E497D}">
  <dimension ref="A1:L40"/>
  <sheetViews>
    <sheetView workbookViewId="0">
      <selection activeCell="F9" sqref="F9"/>
    </sheetView>
  </sheetViews>
  <sheetFormatPr defaultColWidth="13.66406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167</v>
      </c>
      <c r="B2" s="2" t="s">
        <v>20</v>
      </c>
      <c r="C2" s="30" t="s">
        <v>128</v>
      </c>
      <c r="D2" s="4" t="s">
        <v>31</v>
      </c>
      <c r="E2" s="4" t="s">
        <v>58</v>
      </c>
      <c r="F2">
        <v>22.22</v>
      </c>
      <c r="G2">
        <f t="shared" ref="G2:G8" si="0">(E2-D2)*24</f>
        <v>12.499999999999998</v>
      </c>
      <c r="H2">
        <f>MIN(G2,9)</f>
        <v>9</v>
      </c>
      <c r="I2" s="7">
        <f>IF(MAX(G2-9,0) - 1 &lt; 0, 0, MAX(G2-9,0) - 1)</f>
        <v>2.4999999999999982</v>
      </c>
      <c r="J2">
        <f t="shared" ref="J2:J8" si="1">H2*F2</f>
        <v>199.98</v>
      </c>
      <c r="K2">
        <f t="shared" ref="K2:K8" si="2">I2*F2*1.2</f>
        <v>66.65999999999994</v>
      </c>
      <c r="L2">
        <f t="shared" ref="L2:L8" si="3">J2+K2</f>
        <v>266.63999999999993</v>
      </c>
    </row>
    <row r="3" spans="1:12">
      <c r="A3" t="s">
        <v>167</v>
      </c>
      <c r="B3" s="2" t="s">
        <v>20</v>
      </c>
      <c r="C3" s="30" t="s">
        <v>129</v>
      </c>
      <c r="D3" s="4" t="s">
        <v>31</v>
      </c>
      <c r="E3" s="4" t="s">
        <v>55</v>
      </c>
      <c r="F3">
        <v>22.22</v>
      </c>
      <c r="G3">
        <f t="shared" si="0"/>
        <v>13.000000000000002</v>
      </c>
      <c r="H3">
        <f t="shared" ref="H3:H8" si="4">MIN(G3,9)</f>
        <v>9</v>
      </c>
      <c r="I3" s="7">
        <f t="shared" ref="I3:I8" si="5">IF(MAX(G3-9,0) - 1 &lt; 0, 0, MAX(G3-9,0) - 1)</f>
        <v>3.0000000000000018</v>
      </c>
      <c r="J3">
        <f t="shared" si="1"/>
        <v>199.98</v>
      </c>
      <c r="K3">
        <f t="shared" si="2"/>
        <v>79.992000000000047</v>
      </c>
      <c r="L3">
        <f t="shared" si="3"/>
        <v>279.97200000000004</v>
      </c>
    </row>
    <row r="4" spans="1:12">
      <c r="A4" t="s">
        <v>167</v>
      </c>
      <c r="B4" s="2" t="s">
        <v>20</v>
      </c>
      <c r="C4" s="30" t="s">
        <v>130</v>
      </c>
      <c r="D4" s="4" t="s">
        <v>31</v>
      </c>
      <c r="E4" s="4" t="s">
        <v>127</v>
      </c>
      <c r="F4">
        <v>22.22</v>
      </c>
      <c r="G4">
        <f t="shared" si="0"/>
        <v>9.5</v>
      </c>
      <c r="H4">
        <f t="shared" si="4"/>
        <v>9</v>
      </c>
      <c r="I4" s="7">
        <f t="shared" si="5"/>
        <v>0</v>
      </c>
      <c r="J4">
        <f t="shared" si="1"/>
        <v>199.98</v>
      </c>
      <c r="K4">
        <f t="shared" si="2"/>
        <v>0</v>
      </c>
      <c r="L4">
        <f t="shared" si="3"/>
        <v>199.98</v>
      </c>
    </row>
    <row r="5" spans="1:12">
      <c r="A5" t="s">
        <v>167</v>
      </c>
      <c r="B5" s="2" t="s">
        <v>20</v>
      </c>
      <c r="C5" s="30" t="s">
        <v>131</v>
      </c>
      <c r="D5" s="4" t="s">
        <v>31</v>
      </c>
      <c r="E5" s="4" t="s">
        <v>127</v>
      </c>
      <c r="F5">
        <v>22.22</v>
      </c>
      <c r="G5">
        <f t="shared" si="0"/>
        <v>9.5</v>
      </c>
      <c r="H5">
        <f t="shared" si="4"/>
        <v>9</v>
      </c>
      <c r="I5" s="7">
        <f t="shared" si="5"/>
        <v>0</v>
      </c>
      <c r="J5">
        <f t="shared" si="1"/>
        <v>199.98</v>
      </c>
      <c r="K5">
        <f t="shared" si="2"/>
        <v>0</v>
      </c>
      <c r="L5">
        <f t="shared" si="3"/>
        <v>199.98</v>
      </c>
    </row>
    <row r="6" spans="1:12">
      <c r="A6" t="s">
        <v>167</v>
      </c>
      <c r="B6" s="2" t="s">
        <v>20</v>
      </c>
      <c r="C6" s="30" t="s">
        <v>132</v>
      </c>
      <c r="D6" s="4" t="s">
        <v>63</v>
      </c>
      <c r="E6" s="4" t="s">
        <v>55</v>
      </c>
      <c r="F6">
        <v>22.22</v>
      </c>
      <c r="G6">
        <f t="shared" si="0"/>
        <v>12.5</v>
      </c>
      <c r="H6">
        <f t="shared" si="4"/>
        <v>9</v>
      </c>
      <c r="I6" s="7">
        <f t="shared" si="5"/>
        <v>2.5</v>
      </c>
      <c r="J6">
        <f t="shared" si="1"/>
        <v>199.98</v>
      </c>
      <c r="K6">
        <f t="shared" si="2"/>
        <v>66.66</v>
      </c>
      <c r="L6">
        <f t="shared" si="3"/>
        <v>266.64</v>
      </c>
    </row>
    <row r="7" spans="1:12">
      <c r="A7" t="s">
        <v>167</v>
      </c>
      <c r="B7" s="2" t="s">
        <v>20</v>
      </c>
      <c r="C7" s="30" t="s">
        <v>133</v>
      </c>
      <c r="D7" s="4" t="s">
        <v>63</v>
      </c>
      <c r="E7" s="4" t="s">
        <v>58</v>
      </c>
      <c r="F7">
        <v>25</v>
      </c>
      <c r="G7">
        <f t="shared" si="0"/>
        <v>12</v>
      </c>
      <c r="H7">
        <f>MIN(G7,8)</f>
        <v>8</v>
      </c>
      <c r="I7" s="7">
        <f>IF(MAX(G7-8,0) - 1 &lt; 0, 0, MAX(G7-8,0) - 1)</f>
        <v>3</v>
      </c>
      <c r="J7">
        <f t="shared" si="1"/>
        <v>200</v>
      </c>
      <c r="K7">
        <f t="shared" si="2"/>
        <v>90</v>
      </c>
      <c r="L7">
        <f t="shared" si="3"/>
        <v>290</v>
      </c>
    </row>
    <row r="8" spans="1:12">
      <c r="A8" t="s">
        <v>167</v>
      </c>
      <c r="B8" s="2" t="s">
        <v>20</v>
      </c>
      <c r="C8" s="30" t="s">
        <v>134</v>
      </c>
      <c r="D8" s="4" t="s">
        <v>63</v>
      </c>
      <c r="E8" s="4" t="s">
        <v>55</v>
      </c>
      <c r="F8">
        <v>25</v>
      </c>
      <c r="G8">
        <f t="shared" si="0"/>
        <v>12.5</v>
      </c>
      <c r="H8">
        <f>MIN(G8,8)</f>
        <v>8</v>
      </c>
      <c r="I8" s="7">
        <f>IF(MAX(G8-8,0) - 1 &lt; 0, 0, MAX(G8-8,0) - 1)</f>
        <v>3.5</v>
      </c>
      <c r="J8">
        <f t="shared" si="1"/>
        <v>200</v>
      </c>
      <c r="K8">
        <f t="shared" si="2"/>
        <v>105</v>
      </c>
      <c r="L8">
        <f t="shared" si="3"/>
        <v>305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167</v>
      </c>
      <c r="B15" s="8">
        <f>SUM(J2:J13)</f>
        <v>1399.9</v>
      </c>
      <c r="C15" s="8">
        <f>SUM(K2:K13)</f>
        <v>408.31200000000001</v>
      </c>
      <c r="D15" s="8">
        <f>SUM(L2:L13)</f>
        <v>1808.212</v>
      </c>
    </row>
    <row r="23" spans="1:4" ht="21.6" customHeight="1">
      <c r="A23" s="34" t="s">
        <v>40</v>
      </c>
      <c r="B23" s="34"/>
      <c r="C23" s="15"/>
      <c r="D23" s="9"/>
    </row>
    <row r="24" spans="1:4">
      <c r="A24" s="10" t="s">
        <v>41</v>
      </c>
      <c r="B24" s="11" t="str">
        <f>A2</f>
        <v>Micky</v>
      </c>
      <c r="C24" s="16"/>
    </row>
    <row r="25" spans="1:4">
      <c r="A25" s="10" t="s">
        <v>42</v>
      </c>
      <c r="B25" s="11" t="s">
        <v>57</v>
      </c>
      <c r="C25" s="16"/>
    </row>
    <row r="26" spans="1:4">
      <c r="A26" s="10" t="s">
        <v>43</v>
      </c>
      <c r="B26" s="12">
        <f>C8+1</f>
        <v>46139</v>
      </c>
      <c r="C26" s="16"/>
    </row>
    <row r="27" spans="1:4">
      <c r="A27" s="10" t="s">
        <v>51</v>
      </c>
      <c r="B27" s="10" t="str">
        <f>Kent!B27</f>
        <v>Apr-20 to Apr-26, 2026</v>
      </c>
      <c r="C27" s="16"/>
    </row>
    <row r="28" spans="1:4">
      <c r="A28" s="10" t="s">
        <v>64</v>
      </c>
      <c r="B28" s="10">
        <f>COUNTIF(D2:D8, "*:*")</f>
        <v>7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1399.9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408.31200000000001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1808.212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1808.212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0"/>
  <sheetViews>
    <sheetView topLeftCell="A4" workbookViewId="0">
      <selection activeCell="I8" sqref="I8"/>
    </sheetView>
  </sheetViews>
  <sheetFormatPr defaultColWidth="15.44140625" defaultRowHeight="14.4"/>
  <cols>
    <col min="1" max="1" width="15.664062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106</v>
      </c>
      <c r="B2" s="2" t="s">
        <v>19</v>
      </c>
      <c r="C2" s="30" t="s">
        <v>128</v>
      </c>
      <c r="D2" s="4" t="s">
        <v>32</v>
      </c>
      <c r="E2" s="4" t="s">
        <v>32</v>
      </c>
      <c r="F2">
        <v>36.22</v>
      </c>
      <c r="G2">
        <f t="shared" ref="G2:G8" si="0">(E2-D2)*24</f>
        <v>0</v>
      </c>
      <c r="H2">
        <f>MIN(G2,9)</f>
        <v>0</v>
      </c>
      <c r="I2" s="7">
        <f>IF(MAX(G2-9,0) - 1 &lt; 0, 0, MAX(G2-9,0)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106</v>
      </c>
      <c r="B3" s="2" t="s">
        <v>19</v>
      </c>
      <c r="C3" s="30" t="s">
        <v>129</v>
      </c>
      <c r="D3" s="4" t="s">
        <v>32</v>
      </c>
      <c r="E3" s="4" t="s">
        <v>32</v>
      </c>
      <c r="F3">
        <v>36.22</v>
      </c>
      <c r="G3">
        <f t="shared" si="0"/>
        <v>0</v>
      </c>
      <c r="H3">
        <f t="shared" ref="H3:H8" si="4">MIN(G3,9)</f>
        <v>0</v>
      </c>
      <c r="I3" s="7">
        <f t="shared" ref="I3:I8" si="5">IF(MAX(G3-9,0) - 1 &lt; 0, 0, MAX(G3-9,0)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106</v>
      </c>
      <c r="B4" s="2" t="s">
        <v>19</v>
      </c>
      <c r="C4" s="30" t="s">
        <v>130</v>
      </c>
      <c r="D4" s="4" t="s">
        <v>32</v>
      </c>
      <c r="E4" s="4" t="s">
        <v>32</v>
      </c>
      <c r="F4">
        <v>36.22</v>
      </c>
      <c r="G4">
        <f t="shared" si="0"/>
        <v>0</v>
      </c>
      <c r="H4">
        <f t="shared" si="4"/>
        <v>0</v>
      </c>
      <c r="I4" s="7">
        <f t="shared" si="5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106</v>
      </c>
      <c r="B5" s="2" t="s">
        <v>19</v>
      </c>
      <c r="C5" s="30" t="s">
        <v>131</v>
      </c>
      <c r="D5" s="4" t="s">
        <v>32</v>
      </c>
      <c r="E5" s="4" t="s">
        <v>32</v>
      </c>
      <c r="F5">
        <v>36.22</v>
      </c>
      <c r="G5">
        <f t="shared" si="0"/>
        <v>0</v>
      </c>
      <c r="H5">
        <f t="shared" si="4"/>
        <v>0</v>
      </c>
      <c r="I5" s="7">
        <f t="shared" si="5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106</v>
      </c>
      <c r="B6" s="2" t="s">
        <v>19</v>
      </c>
      <c r="C6" s="30" t="s">
        <v>132</v>
      </c>
      <c r="D6" s="4" t="s">
        <v>32</v>
      </c>
      <c r="E6" s="4" t="s">
        <v>32</v>
      </c>
      <c r="F6">
        <v>36.22</v>
      </c>
      <c r="G6">
        <f t="shared" si="0"/>
        <v>0</v>
      </c>
      <c r="H6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106</v>
      </c>
      <c r="B7" s="2" t="s">
        <v>19</v>
      </c>
      <c r="C7" s="30" t="s">
        <v>133</v>
      </c>
      <c r="D7" s="4" t="s">
        <v>63</v>
      </c>
      <c r="E7" s="4" t="s">
        <v>58</v>
      </c>
      <c r="F7">
        <v>36.22</v>
      </c>
      <c r="G7">
        <f t="shared" si="0"/>
        <v>12</v>
      </c>
      <c r="H7">
        <f>MIN(G7,8)</f>
        <v>8</v>
      </c>
      <c r="I7" s="7">
        <f>IF(MAX(G7-8,0) - 1 &lt; 0, 0, MAX(G7-8,0) - 1)</f>
        <v>3</v>
      </c>
      <c r="J7" s="7">
        <f t="shared" si="1"/>
        <v>289.76</v>
      </c>
      <c r="K7" s="7">
        <f t="shared" si="2"/>
        <v>130.392</v>
      </c>
      <c r="L7" s="7">
        <f t="shared" si="3"/>
        <v>420.15199999999999</v>
      </c>
    </row>
    <row r="8" spans="1:12">
      <c r="A8" t="s">
        <v>106</v>
      </c>
      <c r="B8" s="2" t="s">
        <v>19</v>
      </c>
      <c r="C8" s="30" t="s">
        <v>134</v>
      </c>
      <c r="D8" s="4" t="s">
        <v>110</v>
      </c>
      <c r="E8" s="4" t="s">
        <v>58</v>
      </c>
      <c r="F8">
        <v>36.22</v>
      </c>
      <c r="G8">
        <f t="shared" si="0"/>
        <v>13.000000000000002</v>
      </c>
      <c r="H8">
        <f>MIN(G8,8)</f>
        <v>8</v>
      </c>
      <c r="I8" s="7">
        <f>IF(MAX(G8-8,0) - 1 &lt; 0, 0, MAX(G8-8,0) - 1)</f>
        <v>4.0000000000000018</v>
      </c>
      <c r="J8" s="7">
        <f t="shared" si="1"/>
        <v>289.76</v>
      </c>
      <c r="K8" s="7">
        <f t="shared" si="2"/>
        <v>173.85600000000005</v>
      </c>
      <c r="L8" s="7">
        <f t="shared" si="3"/>
        <v>463.61600000000004</v>
      </c>
    </row>
    <row r="9" spans="1:12">
      <c r="C9" s="32"/>
      <c r="D9" s="33"/>
      <c r="E9" s="33"/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106</v>
      </c>
      <c r="B15" s="8">
        <f>SUM(J2:J13)</f>
        <v>579.52</v>
      </c>
      <c r="C15" s="8">
        <f>SUM(K2:K13)</f>
        <v>304.24800000000005</v>
      </c>
      <c r="D15" s="8">
        <f>SUM(L2:L13)</f>
        <v>883.76800000000003</v>
      </c>
    </row>
    <row r="23" spans="1:4" ht="21.6" customHeight="1">
      <c r="A23" s="34" t="s">
        <v>40</v>
      </c>
      <c r="B23" s="34"/>
      <c r="C23" s="15"/>
      <c r="D23" s="9"/>
    </row>
    <row r="24" spans="1:4">
      <c r="A24" s="10" t="s">
        <v>41</v>
      </c>
      <c r="B24" s="11" t="s">
        <v>106</v>
      </c>
      <c r="C24" s="16"/>
    </row>
    <row r="25" spans="1:4">
      <c r="A25" s="10" t="s">
        <v>42</v>
      </c>
      <c r="B25" s="11" t="s">
        <v>108</v>
      </c>
      <c r="C25" s="16"/>
    </row>
    <row r="26" spans="1:4">
      <c r="A26" s="10" t="s">
        <v>43</v>
      </c>
      <c r="B26" s="12">
        <f>C8+1</f>
        <v>46139</v>
      </c>
      <c r="C26" s="16"/>
    </row>
    <row r="27" spans="1:4">
      <c r="A27" s="10" t="s">
        <v>51</v>
      </c>
      <c r="B27" s="10" t="s">
        <v>162</v>
      </c>
      <c r="C27" s="16"/>
    </row>
    <row r="28" spans="1:4">
      <c r="A28" s="10" t="s">
        <v>64</v>
      </c>
      <c r="B28" s="10">
        <f>COUNTIF(D2:D8, "*:*")</f>
        <v>2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579.52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304.24800000000005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883.76800000000003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883.76800000000003</v>
      </c>
      <c r="C40" s="16"/>
    </row>
  </sheetData>
  <mergeCells count="1">
    <mergeCell ref="A23:B23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workbookViewId="0">
      <selection activeCell="H8" sqref="H8"/>
    </sheetView>
  </sheetViews>
  <sheetFormatPr defaultColWidth="13.66406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12</v>
      </c>
      <c r="B2" s="2" t="s">
        <v>20</v>
      </c>
      <c r="C2" s="30" t="s">
        <v>128</v>
      </c>
      <c r="D2" s="4" t="s">
        <v>32</v>
      </c>
      <c r="E2" s="4" t="s">
        <v>32</v>
      </c>
      <c r="F2">
        <v>33.33</v>
      </c>
      <c r="G2">
        <f t="shared" ref="G2:G8" si="0">(E2-D2)*24</f>
        <v>0</v>
      </c>
      <c r="H2">
        <f>MIN(G2,9)</f>
        <v>0</v>
      </c>
      <c r="I2" s="7">
        <f>IF(MAX(G2-9,0) - 1 &lt; 0, 0, MAX(G2-9,0)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12</v>
      </c>
      <c r="B3" s="2" t="s">
        <v>20</v>
      </c>
      <c r="C3" s="30" t="s">
        <v>129</v>
      </c>
      <c r="D3" s="4" t="s">
        <v>32</v>
      </c>
      <c r="E3" s="4" t="s">
        <v>32</v>
      </c>
      <c r="F3">
        <v>33.33</v>
      </c>
      <c r="G3">
        <f t="shared" si="0"/>
        <v>0</v>
      </c>
      <c r="H3">
        <f t="shared" ref="H3:H8" si="4">MIN(G3,9)</f>
        <v>0</v>
      </c>
      <c r="I3" s="7">
        <f t="shared" ref="I3:I8" si="5">IF(MAX(G3-9,0) - 1 &lt; 0, 0, MAX(G3-9,0)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12</v>
      </c>
      <c r="B4" s="2" t="s">
        <v>20</v>
      </c>
      <c r="C4" s="30" t="s">
        <v>130</v>
      </c>
      <c r="D4" s="4" t="s">
        <v>63</v>
      </c>
      <c r="E4" s="4" t="s">
        <v>58</v>
      </c>
      <c r="F4">
        <v>33.33</v>
      </c>
      <c r="G4">
        <f t="shared" si="0"/>
        <v>12</v>
      </c>
      <c r="H4">
        <f t="shared" si="4"/>
        <v>9</v>
      </c>
      <c r="I4" s="7">
        <f t="shared" si="5"/>
        <v>2</v>
      </c>
      <c r="J4">
        <f t="shared" si="1"/>
        <v>299.96999999999997</v>
      </c>
      <c r="K4">
        <f t="shared" si="2"/>
        <v>79.99199999999999</v>
      </c>
      <c r="L4">
        <f t="shared" si="3"/>
        <v>379.96199999999999</v>
      </c>
    </row>
    <row r="5" spans="1:12">
      <c r="A5" t="s">
        <v>12</v>
      </c>
      <c r="B5" s="2" t="s">
        <v>20</v>
      </c>
      <c r="C5" s="30" t="s">
        <v>131</v>
      </c>
      <c r="D5" s="4" t="s">
        <v>63</v>
      </c>
      <c r="E5" s="4" t="s">
        <v>58</v>
      </c>
      <c r="F5">
        <v>33.33</v>
      </c>
      <c r="G5">
        <f t="shared" si="0"/>
        <v>12</v>
      </c>
      <c r="H5">
        <f t="shared" si="4"/>
        <v>9</v>
      </c>
      <c r="I5" s="7">
        <f t="shared" si="5"/>
        <v>2</v>
      </c>
      <c r="J5">
        <f t="shared" si="1"/>
        <v>299.96999999999997</v>
      </c>
      <c r="K5">
        <f t="shared" si="2"/>
        <v>79.99199999999999</v>
      </c>
      <c r="L5">
        <f t="shared" si="3"/>
        <v>379.96199999999999</v>
      </c>
    </row>
    <row r="6" spans="1:12">
      <c r="A6" t="s">
        <v>12</v>
      </c>
      <c r="B6" s="2" t="s">
        <v>20</v>
      </c>
      <c r="C6" s="30" t="s">
        <v>132</v>
      </c>
      <c r="D6" s="4" t="s">
        <v>63</v>
      </c>
      <c r="E6" s="4" t="s">
        <v>58</v>
      </c>
      <c r="F6">
        <v>33.33</v>
      </c>
      <c r="G6">
        <f t="shared" si="0"/>
        <v>12</v>
      </c>
      <c r="H6">
        <f t="shared" si="4"/>
        <v>9</v>
      </c>
      <c r="I6" s="7">
        <f t="shared" si="5"/>
        <v>2</v>
      </c>
      <c r="J6">
        <f t="shared" si="1"/>
        <v>299.96999999999997</v>
      </c>
      <c r="K6">
        <f t="shared" si="2"/>
        <v>79.99199999999999</v>
      </c>
      <c r="L6">
        <f t="shared" si="3"/>
        <v>379.96199999999999</v>
      </c>
    </row>
    <row r="7" spans="1:12">
      <c r="A7" t="s">
        <v>12</v>
      </c>
      <c r="B7" s="2" t="s">
        <v>20</v>
      </c>
      <c r="C7" s="30" t="s">
        <v>133</v>
      </c>
      <c r="D7" s="4" t="s">
        <v>32</v>
      </c>
      <c r="E7" s="4" t="s">
        <v>32</v>
      </c>
      <c r="F7">
        <v>33.33</v>
      </c>
      <c r="G7">
        <f t="shared" si="0"/>
        <v>0</v>
      </c>
      <c r="H7">
        <f>MIN(G7,8)</f>
        <v>0</v>
      </c>
      <c r="I7" s="7">
        <f>IF(MAX(G7-8,0) - 1 &lt; 0, 0, MAX(G7-8,0) - 1)</f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12</v>
      </c>
      <c r="B8" s="2" t="s">
        <v>20</v>
      </c>
      <c r="C8" s="30" t="s">
        <v>134</v>
      </c>
      <c r="D8" s="4" t="s">
        <v>32</v>
      </c>
      <c r="E8" s="4" t="s">
        <v>32</v>
      </c>
      <c r="F8">
        <v>33.33</v>
      </c>
      <c r="G8">
        <f t="shared" si="0"/>
        <v>0</v>
      </c>
      <c r="H8">
        <f>MIN(G8,8)</f>
        <v>0</v>
      </c>
      <c r="I8" s="7">
        <f>IF(MAX(G8-8,0) - 1 &lt; 0, 0, MAX(G8-8,0) - 1)</f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12</v>
      </c>
      <c r="B15" s="8">
        <f>SUM(J2:J13)</f>
        <v>899.90999999999985</v>
      </c>
      <c r="C15" s="8">
        <f>SUM(K2:K13)</f>
        <v>239.97599999999997</v>
      </c>
      <c r="D15" s="8">
        <f>SUM(L2:L13)</f>
        <v>1139.886</v>
      </c>
    </row>
    <row r="23" spans="1:4" ht="21.6" customHeight="1">
      <c r="A23" s="34" t="s">
        <v>40</v>
      </c>
      <c r="B23" s="34"/>
      <c r="C23" s="15"/>
      <c r="D23" s="9"/>
    </row>
    <row r="24" spans="1:4">
      <c r="A24" s="10" t="s">
        <v>41</v>
      </c>
      <c r="B24" s="11" t="str">
        <f>A2</f>
        <v>Jay Anne</v>
      </c>
      <c r="C24" s="16"/>
    </row>
    <row r="25" spans="1:4">
      <c r="A25" s="10" t="s">
        <v>42</v>
      </c>
      <c r="B25" s="11" t="s">
        <v>57</v>
      </c>
      <c r="C25" s="16"/>
    </row>
    <row r="26" spans="1:4">
      <c r="A26" s="10" t="s">
        <v>43</v>
      </c>
      <c r="B26" s="12">
        <f>C8+1</f>
        <v>46139</v>
      </c>
      <c r="C26" s="16"/>
    </row>
    <row r="27" spans="1:4">
      <c r="A27" s="10" t="s">
        <v>51</v>
      </c>
      <c r="B27" s="10" t="str">
        <f>Kent!B27</f>
        <v>Apr-20 to Apr-26, 2026</v>
      </c>
      <c r="C27" s="16"/>
    </row>
    <row r="28" spans="1:4">
      <c r="A28" s="10" t="s">
        <v>64</v>
      </c>
      <c r="B28" s="10">
        <f>COUNTIF(D2:D8, "*:*")</f>
        <v>3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899.90999999999985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239.97599999999997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1139.886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1139.886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0"/>
  <sheetViews>
    <sheetView workbookViewId="0">
      <selection activeCell="F10" sqref="F10"/>
    </sheetView>
  </sheetViews>
  <sheetFormatPr defaultColWidth="13.332031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33</v>
      </c>
      <c r="B2" s="2" t="s">
        <v>19</v>
      </c>
      <c r="C2" s="30" t="s">
        <v>128</v>
      </c>
      <c r="D2" s="23" t="s">
        <v>32</v>
      </c>
      <c r="E2" s="23" t="s">
        <v>32</v>
      </c>
      <c r="F2">
        <v>36.32</v>
      </c>
      <c r="G2">
        <f t="shared" ref="G2:G8" si="0">(E2-D2)*24</f>
        <v>0</v>
      </c>
      <c r="H2">
        <f>MIN(G2,9)</f>
        <v>0</v>
      </c>
      <c r="I2" s="7">
        <f>IF(MAX(G2-9,0) - 1 &lt; 0, 0, MAX(G2-9,0)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33</v>
      </c>
      <c r="B3" s="2" t="s">
        <v>19</v>
      </c>
      <c r="C3" s="30" t="s">
        <v>129</v>
      </c>
      <c r="D3" s="23" t="s">
        <v>32</v>
      </c>
      <c r="E3" s="23" t="s">
        <v>32</v>
      </c>
      <c r="F3">
        <v>36.32</v>
      </c>
      <c r="G3">
        <f t="shared" si="0"/>
        <v>0</v>
      </c>
      <c r="H3">
        <f t="shared" ref="H3:H8" si="4">MIN(G3,9)</f>
        <v>0</v>
      </c>
      <c r="I3" s="7">
        <f t="shared" ref="I3:I8" si="5">IF(MAX(G3-9,0) - 1 &lt; 0, 0, MAX(G3-9,0)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33</v>
      </c>
      <c r="B4" s="2" t="s">
        <v>19</v>
      </c>
      <c r="C4" s="30" t="s">
        <v>130</v>
      </c>
      <c r="D4" s="23" t="s">
        <v>32</v>
      </c>
      <c r="E4" s="23" t="s">
        <v>32</v>
      </c>
      <c r="F4">
        <v>36.32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33</v>
      </c>
      <c r="B5" s="2" t="s">
        <v>19</v>
      </c>
      <c r="C5" s="30" t="s">
        <v>131</v>
      </c>
      <c r="D5" s="23" t="s">
        <v>63</v>
      </c>
      <c r="E5" s="31" t="s">
        <v>138</v>
      </c>
      <c r="F5">
        <v>36.32</v>
      </c>
      <c r="G5">
        <f t="shared" si="0"/>
        <v>9.1166666666666671</v>
      </c>
      <c r="H5">
        <f t="shared" si="4"/>
        <v>9</v>
      </c>
      <c r="I5" s="7">
        <f t="shared" si="5"/>
        <v>0</v>
      </c>
      <c r="J5">
        <f t="shared" si="1"/>
        <v>326.88</v>
      </c>
      <c r="K5">
        <f t="shared" si="2"/>
        <v>0</v>
      </c>
      <c r="L5">
        <f t="shared" si="3"/>
        <v>326.88</v>
      </c>
    </row>
    <row r="6" spans="1:12">
      <c r="A6" t="s">
        <v>33</v>
      </c>
      <c r="B6" s="2" t="s">
        <v>19</v>
      </c>
      <c r="C6" s="30" t="s">
        <v>132</v>
      </c>
      <c r="D6" s="4" t="s">
        <v>110</v>
      </c>
      <c r="E6" s="23" t="s">
        <v>58</v>
      </c>
      <c r="F6">
        <v>36.32</v>
      </c>
      <c r="G6">
        <f t="shared" si="0"/>
        <v>13.000000000000002</v>
      </c>
      <c r="H6">
        <f t="shared" si="4"/>
        <v>9</v>
      </c>
      <c r="I6" s="7">
        <f t="shared" si="5"/>
        <v>3.0000000000000018</v>
      </c>
      <c r="J6">
        <f t="shared" si="1"/>
        <v>326.88</v>
      </c>
      <c r="K6">
        <f t="shared" si="2"/>
        <v>130.75200000000007</v>
      </c>
      <c r="L6">
        <f t="shared" si="3"/>
        <v>457.63200000000006</v>
      </c>
    </row>
    <row r="7" spans="1:12">
      <c r="A7" t="s">
        <v>33</v>
      </c>
      <c r="B7" s="2" t="s">
        <v>19</v>
      </c>
      <c r="C7" s="30" t="s">
        <v>133</v>
      </c>
      <c r="D7" s="23" t="s">
        <v>63</v>
      </c>
      <c r="E7" s="23" t="s">
        <v>126</v>
      </c>
      <c r="F7">
        <v>40.86</v>
      </c>
      <c r="G7">
        <f t="shared" si="0"/>
        <v>3.9999999999999991</v>
      </c>
      <c r="H7">
        <f>MIN(G7,8)</f>
        <v>3.9999999999999991</v>
      </c>
      <c r="I7" s="7">
        <f>IF(MAX(G7-8,0) - 1 &lt; 0, 0, MAX(G7-8,0) - 1)</f>
        <v>0</v>
      </c>
      <c r="J7">
        <f t="shared" si="1"/>
        <v>163.43999999999997</v>
      </c>
      <c r="K7">
        <f t="shared" si="2"/>
        <v>0</v>
      </c>
      <c r="L7">
        <f t="shared" si="3"/>
        <v>163.43999999999997</v>
      </c>
    </row>
    <row r="8" spans="1:12">
      <c r="A8" t="s">
        <v>33</v>
      </c>
      <c r="B8" s="2" t="s">
        <v>19</v>
      </c>
      <c r="C8" s="30" t="s">
        <v>134</v>
      </c>
      <c r="D8" s="23" t="s">
        <v>151</v>
      </c>
      <c r="E8" s="23" t="s">
        <v>61</v>
      </c>
      <c r="F8">
        <v>40.86</v>
      </c>
      <c r="G8">
        <f t="shared" si="0"/>
        <v>7.0333333333333332</v>
      </c>
      <c r="H8">
        <f>MIN(G8,8)</f>
        <v>7.0333333333333332</v>
      </c>
      <c r="I8" s="7">
        <f>IF(MAX(G8-8,0) - 1 &lt; 0, 0, MAX(G8-8,0) - 1)</f>
        <v>0</v>
      </c>
      <c r="J8">
        <f t="shared" si="1"/>
        <v>287.38200000000001</v>
      </c>
      <c r="K8">
        <f t="shared" si="2"/>
        <v>0</v>
      </c>
      <c r="L8">
        <f t="shared" si="3"/>
        <v>287.38200000000001</v>
      </c>
    </row>
    <row r="9" spans="1:12">
      <c r="C9" s="32"/>
      <c r="D9" s="33"/>
      <c r="E9" s="33"/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33</v>
      </c>
      <c r="B15" s="8">
        <f>SUM(J2:J13)</f>
        <v>1104.5819999999999</v>
      </c>
      <c r="C15" s="8">
        <f>SUM(K2:K13)</f>
        <v>130.75200000000007</v>
      </c>
      <c r="D15" s="8">
        <f>SUM(L2:L13)</f>
        <v>1235.3340000000001</v>
      </c>
    </row>
    <row r="23" spans="1:4" ht="21.6" customHeight="1">
      <c r="A23" s="34" t="s">
        <v>40</v>
      </c>
      <c r="B23" s="34"/>
      <c r="C23" s="15"/>
      <c r="D23" s="9"/>
    </row>
    <row r="24" spans="1:4">
      <c r="A24" s="10" t="s">
        <v>41</v>
      </c>
      <c r="B24" s="11" t="str">
        <f>A2</f>
        <v>Kris Naynayan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46139</v>
      </c>
      <c r="C26" s="16"/>
    </row>
    <row r="27" spans="1:4">
      <c r="A27" s="10" t="s">
        <v>51</v>
      </c>
      <c r="B27" s="10" t="str">
        <f>Kent!B27</f>
        <v>Apr-20 to Apr-26, 2026</v>
      </c>
      <c r="C27" s="16"/>
    </row>
    <row r="28" spans="1:4">
      <c r="A28" s="10" t="s">
        <v>64</v>
      </c>
      <c r="B28" s="10">
        <f>COUNTIF(D2:D8, "*:*")</f>
        <v>4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1104.5819999999999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130.75200000000007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1235.3340000000001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1235.3340000000001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0"/>
  <sheetViews>
    <sheetView workbookViewId="0">
      <selection activeCell="F11" sqref="F11"/>
    </sheetView>
  </sheetViews>
  <sheetFormatPr defaultColWidth="14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</v>
      </c>
      <c r="B2" s="2" t="s">
        <v>19</v>
      </c>
      <c r="C2" s="30" t="s">
        <v>128</v>
      </c>
      <c r="D2" s="4" t="s">
        <v>110</v>
      </c>
      <c r="E2" s="23" t="s">
        <v>30</v>
      </c>
      <c r="F2">
        <v>37.39</v>
      </c>
      <c r="G2">
        <f t="shared" ref="G2:G8" si="0">(E2-D2)*24</f>
        <v>13.999999999999998</v>
      </c>
      <c r="H2">
        <f>MIN(G2,9)</f>
        <v>9</v>
      </c>
      <c r="I2" s="7">
        <f>IF(MAX(G2-9,0) - 1 &lt; 0, 0, MAX(G2-9,0) - 1)</f>
        <v>3.9999999999999982</v>
      </c>
      <c r="J2">
        <f t="shared" ref="J2:J8" si="1">H2*F2</f>
        <v>336.51</v>
      </c>
      <c r="K2">
        <f t="shared" ref="K2:K8" si="2">I2*F2*1.2</f>
        <v>179.47199999999992</v>
      </c>
      <c r="L2">
        <f t="shared" ref="L2:L8" si="3">J2+K2</f>
        <v>515.98199999999997</v>
      </c>
    </row>
    <row r="3" spans="1:12">
      <c r="A3" t="s">
        <v>15</v>
      </c>
      <c r="B3" s="2" t="s">
        <v>19</v>
      </c>
      <c r="C3" s="30" t="s">
        <v>129</v>
      </c>
      <c r="D3" s="4" t="s">
        <v>110</v>
      </c>
      <c r="E3" s="23" t="s">
        <v>30</v>
      </c>
      <c r="F3">
        <v>37.39</v>
      </c>
      <c r="G3">
        <f t="shared" si="0"/>
        <v>13.999999999999998</v>
      </c>
      <c r="H3">
        <f t="shared" ref="H3:H8" si="4">MIN(G3,9)</f>
        <v>9</v>
      </c>
      <c r="I3" s="7">
        <f t="shared" ref="I3:I8" si="5">IF(MAX(G3-9,0) - 1 &lt; 0, 0, MAX(G3-9,0) - 1)</f>
        <v>3.9999999999999982</v>
      </c>
      <c r="J3">
        <f t="shared" si="1"/>
        <v>336.51</v>
      </c>
      <c r="K3">
        <f t="shared" si="2"/>
        <v>179.47199999999992</v>
      </c>
      <c r="L3">
        <f t="shared" si="3"/>
        <v>515.98199999999997</v>
      </c>
    </row>
    <row r="4" spans="1:12">
      <c r="A4" t="s">
        <v>15</v>
      </c>
      <c r="B4" s="2" t="s">
        <v>19</v>
      </c>
      <c r="C4" s="30" t="s">
        <v>130</v>
      </c>
      <c r="D4" s="4" t="s">
        <v>110</v>
      </c>
      <c r="E4" s="23" t="s">
        <v>30</v>
      </c>
      <c r="F4">
        <v>37.39</v>
      </c>
      <c r="G4">
        <f t="shared" si="0"/>
        <v>13.999999999999998</v>
      </c>
      <c r="H4">
        <f t="shared" si="4"/>
        <v>9</v>
      </c>
      <c r="I4" s="7">
        <f t="shared" si="5"/>
        <v>3.9999999999999982</v>
      </c>
      <c r="J4">
        <f t="shared" si="1"/>
        <v>336.51</v>
      </c>
      <c r="K4">
        <f t="shared" si="2"/>
        <v>179.47199999999992</v>
      </c>
      <c r="L4">
        <f t="shared" si="3"/>
        <v>515.98199999999997</v>
      </c>
    </row>
    <row r="5" spans="1:12">
      <c r="A5" t="s">
        <v>15</v>
      </c>
      <c r="B5" s="2" t="s">
        <v>19</v>
      </c>
      <c r="C5" s="30" t="s">
        <v>131</v>
      </c>
      <c r="D5" s="4" t="s">
        <v>110</v>
      </c>
      <c r="E5" s="23" t="s">
        <v>30</v>
      </c>
      <c r="F5">
        <v>37.39</v>
      </c>
      <c r="G5">
        <f t="shared" si="0"/>
        <v>13.999999999999998</v>
      </c>
      <c r="H5">
        <f t="shared" si="4"/>
        <v>9</v>
      </c>
      <c r="I5" s="7">
        <f t="shared" si="5"/>
        <v>3.9999999999999982</v>
      </c>
      <c r="J5">
        <f t="shared" si="1"/>
        <v>336.51</v>
      </c>
      <c r="K5">
        <f t="shared" si="2"/>
        <v>179.47199999999992</v>
      </c>
      <c r="L5">
        <f t="shared" si="3"/>
        <v>515.98199999999997</v>
      </c>
    </row>
    <row r="6" spans="1:12">
      <c r="A6" t="s">
        <v>15</v>
      </c>
      <c r="B6" s="2" t="s">
        <v>19</v>
      </c>
      <c r="C6" s="30" t="s">
        <v>132</v>
      </c>
      <c r="D6" s="23" t="s">
        <v>32</v>
      </c>
      <c r="E6" s="23" t="s">
        <v>32</v>
      </c>
      <c r="F6">
        <v>37.39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15</v>
      </c>
      <c r="B7" s="2" t="s">
        <v>19</v>
      </c>
      <c r="C7" s="30" t="s">
        <v>133</v>
      </c>
      <c r="D7" s="4" t="s">
        <v>63</v>
      </c>
      <c r="E7" s="23" t="s">
        <v>30</v>
      </c>
      <c r="F7">
        <v>42.06</v>
      </c>
      <c r="G7">
        <f t="shared" si="0"/>
        <v>13</v>
      </c>
      <c r="H7">
        <f>MIN(G7,8)</f>
        <v>8</v>
      </c>
      <c r="I7" s="7">
        <f>IF(MAX(G7-8,0) - 1 &lt; 0, 0, MAX(G7-8,0) - 1)</f>
        <v>4</v>
      </c>
      <c r="J7">
        <f t="shared" si="1"/>
        <v>336.48</v>
      </c>
      <c r="K7">
        <f t="shared" si="2"/>
        <v>201.88800000000001</v>
      </c>
      <c r="L7">
        <f t="shared" si="3"/>
        <v>538.36800000000005</v>
      </c>
    </row>
    <row r="8" spans="1:12">
      <c r="A8" t="s">
        <v>15</v>
      </c>
      <c r="B8" s="2" t="s">
        <v>19</v>
      </c>
      <c r="C8" s="30" t="s">
        <v>134</v>
      </c>
      <c r="D8" s="4" t="s">
        <v>110</v>
      </c>
      <c r="E8" s="23" t="s">
        <v>30</v>
      </c>
      <c r="F8">
        <v>42.06</v>
      </c>
      <c r="G8">
        <f t="shared" si="0"/>
        <v>13.999999999999998</v>
      </c>
      <c r="H8">
        <f>MIN(G8,8)</f>
        <v>8</v>
      </c>
      <c r="I8" s="7">
        <f>IF(MAX(G8-8,0) - 1 &lt; 0, 0, MAX(G8-8,0) - 1)</f>
        <v>4.9999999999999982</v>
      </c>
      <c r="J8">
        <f t="shared" si="1"/>
        <v>336.48</v>
      </c>
      <c r="K8">
        <f t="shared" si="2"/>
        <v>252.3599999999999</v>
      </c>
      <c r="L8">
        <f t="shared" si="3"/>
        <v>588.83999999999992</v>
      </c>
    </row>
    <row r="9" spans="1:12">
      <c r="C9" s="32"/>
      <c r="D9" s="33"/>
      <c r="E9" s="33"/>
    </row>
    <row r="10" spans="1:12">
      <c r="C10" s="16"/>
      <c r="D10" s="16"/>
      <c r="E10" s="16"/>
    </row>
    <row r="11" spans="1:12">
      <c r="C11" s="16"/>
      <c r="D11" s="16"/>
      <c r="E11" s="16"/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15</v>
      </c>
      <c r="B15" s="8">
        <f>SUM(J2:J13)</f>
        <v>2019</v>
      </c>
      <c r="C15" s="8">
        <f>SUM(K2:K13)</f>
        <v>1172.1359999999995</v>
      </c>
      <c r="D15" s="8">
        <f>SUM(L2:L13)</f>
        <v>3191.1359999999995</v>
      </c>
    </row>
    <row r="18" spans="1:11">
      <c r="G18" s="22"/>
      <c r="H18" s="22"/>
      <c r="I18" s="4"/>
      <c r="J18" s="4"/>
      <c r="K18" s="23"/>
    </row>
    <row r="19" spans="1:11">
      <c r="G19" s="22"/>
      <c r="H19" s="22"/>
      <c r="I19" s="4"/>
      <c r="J19" s="4"/>
      <c r="K19" s="23"/>
    </row>
    <row r="20" spans="1:11">
      <c r="G20" s="22"/>
      <c r="H20" s="4"/>
      <c r="I20" s="5"/>
      <c r="J20" s="5"/>
    </row>
    <row r="21" spans="1:11">
      <c r="G21" s="22"/>
      <c r="H21" s="4"/>
      <c r="I21" s="24"/>
      <c r="J21" s="24"/>
    </row>
    <row r="22" spans="1:11">
      <c r="G22" s="22"/>
      <c r="H22" s="4"/>
      <c r="I22" s="5"/>
      <c r="J22" s="5"/>
    </row>
    <row r="23" spans="1:11" ht="21.6" customHeight="1">
      <c r="A23" s="34" t="s">
        <v>40</v>
      </c>
      <c r="B23" s="34"/>
      <c r="C23" s="15"/>
      <c r="D23" s="9"/>
      <c r="G23" s="22"/>
      <c r="H23" s="4"/>
      <c r="I23" s="5"/>
      <c r="J23" s="5"/>
    </row>
    <row r="24" spans="1:11">
      <c r="A24" s="10" t="s">
        <v>41</v>
      </c>
      <c r="B24" s="11" t="str">
        <f>A2</f>
        <v>Cherry</v>
      </c>
      <c r="C24" s="16"/>
      <c r="G24" s="22"/>
      <c r="H24" s="4"/>
      <c r="I24" s="5"/>
      <c r="J24" s="5"/>
    </row>
    <row r="25" spans="1:11">
      <c r="A25" s="10" t="s">
        <v>42</v>
      </c>
      <c r="B25" s="11" t="s">
        <v>56</v>
      </c>
      <c r="C25" s="16"/>
      <c r="G25" s="22"/>
      <c r="H25" s="4"/>
      <c r="I25" s="5"/>
      <c r="J25" s="5"/>
    </row>
    <row r="26" spans="1:11">
      <c r="A26" s="10" t="s">
        <v>43</v>
      </c>
      <c r="B26" s="12">
        <f>C8+1</f>
        <v>46139</v>
      </c>
      <c r="C26" s="16"/>
      <c r="G26" s="22"/>
      <c r="H26" s="4"/>
      <c r="I26" s="24"/>
      <c r="J26" s="24"/>
    </row>
    <row r="27" spans="1:11">
      <c r="A27" s="10" t="s">
        <v>51</v>
      </c>
      <c r="B27" s="10" t="str">
        <f>Kent!B27</f>
        <v>Apr-20 to Apr-26, 2026</v>
      </c>
      <c r="C27" s="16"/>
      <c r="G27" s="22"/>
      <c r="H27" s="4"/>
      <c r="I27" s="5"/>
      <c r="J27" s="5"/>
    </row>
    <row r="28" spans="1:11">
      <c r="A28" s="10" t="s">
        <v>64</v>
      </c>
      <c r="B28" s="10">
        <f>COUNTIF(D2:D8, "*:*")</f>
        <v>6</v>
      </c>
      <c r="C28" s="16"/>
    </row>
    <row r="29" spans="1:11">
      <c r="A29" s="13" t="s">
        <v>54</v>
      </c>
      <c r="B29" s="10"/>
      <c r="C29" s="17"/>
    </row>
    <row r="30" spans="1:11">
      <c r="A30" s="10" t="s">
        <v>45</v>
      </c>
      <c r="B30" s="14">
        <f>B15</f>
        <v>2019</v>
      </c>
      <c r="C30" s="16"/>
    </row>
    <row r="31" spans="1:11">
      <c r="A31" s="10" t="s">
        <v>44</v>
      </c>
      <c r="B31" s="14">
        <v>0</v>
      </c>
      <c r="C31" s="16"/>
    </row>
    <row r="32" spans="1:11">
      <c r="A32" s="10" t="s">
        <v>6</v>
      </c>
      <c r="B32" s="14">
        <f>C15</f>
        <v>1172.1359999999995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3191.1359999999995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3191.1359999999995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0"/>
  <sheetViews>
    <sheetView workbookViewId="0">
      <selection activeCell="F7" sqref="F7"/>
    </sheetView>
  </sheetViews>
  <sheetFormatPr defaultColWidth="13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161</v>
      </c>
      <c r="B2" s="2" t="s">
        <v>19</v>
      </c>
      <c r="C2" s="30" t="s">
        <v>128</v>
      </c>
      <c r="D2" s="23" t="s">
        <v>32</v>
      </c>
      <c r="E2" s="23" t="s">
        <v>32</v>
      </c>
      <c r="F2">
        <v>27.77</v>
      </c>
      <c r="G2">
        <f t="shared" ref="G2:G8" si="0">(E2-D2)*24</f>
        <v>0</v>
      </c>
      <c r="H2">
        <f>MIN(G2,9)</f>
        <v>0</v>
      </c>
      <c r="I2" s="7">
        <f>IF(MAX(G2-9,0) - 1 &lt; 0, 0, MAX(G2-9,0)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161</v>
      </c>
      <c r="B3" s="2" t="s">
        <v>19</v>
      </c>
      <c r="C3" s="30" t="s">
        <v>129</v>
      </c>
      <c r="D3" s="4" t="s">
        <v>110</v>
      </c>
      <c r="E3" s="23" t="s">
        <v>58</v>
      </c>
      <c r="F3">
        <v>27.77</v>
      </c>
      <c r="G3">
        <f t="shared" si="0"/>
        <v>13.000000000000002</v>
      </c>
      <c r="H3">
        <f t="shared" ref="H3:H8" si="4">MIN(G3,9)</f>
        <v>9</v>
      </c>
      <c r="I3" s="7">
        <f t="shared" ref="I3:I8" si="5">IF(MAX(G3-9,0) - 1 &lt; 0, 0, MAX(G3-9,0) - 1)</f>
        <v>3.0000000000000018</v>
      </c>
      <c r="J3">
        <f t="shared" si="1"/>
        <v>249.93</v>
      </c>
      <c r="K3">
        <f t="shared" si="2"/>
        <v>99.972000000000051</v>
      </c>
      <c r="L3">
        <f t="shared" si="3"/>
        <v>349.90200000000004</v>
      </c>
    </row>
    <row r="4" spans="1:12">
      <c r="A4" t="s">
        <v>161</v>
      </c>
      <c r="B4" s="2" t="s">
        <v>19</v>
      </c>
      <c r="C4" s="30" t="s">
        <v>130</v>
      </c>
      <c r="D4" s="4" t="s">
        <v>110</v>
      </c>
      <c r="E4" s="23" t="s">
        <v>58</v>
      </c>
      <c r="F4">
        <v>27.77</v>
      </c>
      <c r="G4">
        <f t="shared" si="0"/>
        <v>13.000000000000002</v>
      </c>
      <c r="H4">
        <f t="shared" si="4"/>
        <v>9</v>
      </c>
      <c r="I4" s="7">
        <f t="shared" si="5"/>
        <v>3.0000000000000018</v>
      </c>
      <c r="J4">
        <f t="shared" si="1"/>
        <v>249.93</v>
      </c>
      <c r="K4">
        <f t="shared" si="2"/>
        <v>99.972000000000051</v>
      </c>
      <c r="L4">
        <f t="shared" si="3"/>
        <v>349.90200000000004</v>
      </c>
    </row>
    <row r="5" spans="1:12">
      <c r="A5" t="s">
        <v>161</v>
      </c>
      <c r="B5" s="2" t="s">
        <v>19</v>
      </c>
      <c r="C5" s="30" t="s">
        <v>131</v>
      </c>
      <c r="D5" s="4" t="s">
        <v>110</v>
      </c>
      <c r="E5" s="23" t="s">
        <v>58</v>
      </c>
      <c r="F5">
        <v>27.77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249.93</v>
      </c>
      <c r="K5">
        <f t="shared" si="2"/>
        <v>99.972000000000051</v>
      </c>
      <c r="L5">
        <f t="shared" si="3"/>
        <v>349.90200000000004</v>
      </c>
    </row>
    <row r="6" spans="1:12">
      <c r="A6" t="s">
        <v>161</v>
      </c>
      <c r="B6" s="2" t="s">
        <v>19</v>
      </c>
      <c r="C6" s="30" t="s">
        <v>132</v>
      </c>
      <c r="D6" s="4" t="s">
        <v>110</v>
      </c>
      <c r="E6" s="23" t="s">
        <v>58</v>
      </c>
      <c r="F6">
        <v>27.77</v>
      </c>
      <c r="G6">
        <f t="shared" si="0"/>
        <v>13.000000000000002</v>
      </c>
      <c r="H6">
        <f t="shared" si="4"/>
        <v>9</v>
      </c>
      <c r="I6" s="7">
        <f t="shared" si="5"/>
        <v>3.0000000000000018</v>
      </c>
      <c r="J6">
        <f t="shared" si="1"/>
        <v>249.93</v>
      </c>
      <c r="K6">
        <f t="shared" si="2"/>
        <v>99.972000000000051</v>
      </c>
      <c r="L6">
        <f t="shared" si="3"/>
        <v>349.90200000000004</v>
      </c>
    </row>
    <row r="7" spans="1:12">
      <c r="A7" t="s">
        <v>161</v>
      </c>
      <c r="B7" s="2" t="s">
        <v>19</v>
      </c>
      <c r="C7" s="30" t="s">
        <v>133</v>
      </c>
      <c r="D7" s="23" t="s">
        <v>63</v>
      </c>
      <c r="E7" s="23" t="s">
        <v>58</v>
      </c>
      <c r="F7">
        <v>31.25</v>
      </c>
      <c r="G7">
        <f t="shared" si="0"/>
        <v>12</v>
      </c>
      <c r="H7">
        <f>MIN(G7,8)</f>
        <v>8</v>
      </c>
      <c r="I7" s="7">
        <f>IF(MAX(G7-8,0) - 1 &lt; 0, 0, MAX(G7-8,0) - 1)</f>
        <v>3</v>
      </c>
      <c r="J7">
        <f t="shared" si="1"/>
        <v>250</v>
      </c>
      <c r="K7">
        <f t="shared" si="2"/>
        <v>112.5</v>
      </c>
      <c r="L7">
        <f t="shared" si="3"/>
        <v>362.5</v>
      </c>
    </row>
    <row r="8" spans="1:12">
      <c r="A8" t="s">
        <v>161</v>
      </c>
      <c r="B8" s="2" t="s">
        <v>19</v>
      </c>
      <c r="C8" s="30" t="s">
        <v>134</v>
      </c>
      <c r="D8" s="23" t="s">
        <v>32</v>
      </c>
      <c r="E8" s="23" t="s">
        <v>32</v>
      </c>
      <c r="F8">
        <v>31.25</v>
      </c>
      <c r="G8">
        <f t="shared" si="0"/>
        <v>0</v>
      </c>
      <c r="H8">
        <f>MIN(G8,8)</f>
        <v>0</v>
      </c>
      <c r="I8" s="7">
        <f>IF(MAX(G8-8,0) - 1 &lt; 0, 0, MAX(G8-8,0) - 1)</f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105</v>
      </c>
      <c r="B15" s="8">
        <f>SUM(J2:J13)</f>
        <v>1249.72</v>
      </c>
      <c r="C15" s="8">
        <f>SUM(K2:K13)</f>
        <v>512.38800000000015</v>
      </c>
      <c r="D15" s="8">
        <f>SUM(L2:L13)</f>
        <v>1762.1080000000002</v>
      </c>
    </row>
    <row r="23" spans="1:4" ht="21.6" customHeight="1">
      <c r="A23" s="34" t="s">
        <v>40</v>
      </c>
      <c r="B23" s="34"/>
      <c r="C23" s="15"/>
      <c r="D23" s="9"/>
    </row>
    <row r="24" spans="1:4">
      <c r="A24" s="10" t="s">
        <v>41</v>
      </c>
      <c r="B24" s="11" t="s">
        <v>161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46139</v>
      </c>
      <c r="C26" s="16"/>
    </row>
    <row r="27" spans="1:4">
      <c r="A27" s="10" t="s">
        <v>51</v>
      </c>
      <c r="B27" s="10" t="str">
        <f>Kent!B27</f>
        <v>Apr-20 to Apr-26, 2026</v>
      </c>
      <c r="C27" s="16"/>
    </row>
    <row r="28" spans="1:4">
      <c r="A28" s="10" t="s">
        <v>64</v>
      </c>
      <c r="B28" s="10">
        <f>COUNTIF(D2:D8, "*:*")</f>
        <v>5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1249.72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512.38800000000015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1762.1080000000002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1762.1080000000002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0"/>
  <sheetViews>
    <sheetView workbookViewId="0">
      <selection activeCell="F10" sqref="F10"/>
    </sheetView>
  </sheetViews>
  <sheetFormatPr defaultColWidth="15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34</v>
      </c>
      <c r="B2" s="2" t="s">
        <v>96</v>
      </c>
      <c r="C2" s="30" t="s">
        <v>128</v>
      </c>
      <c r="D2" s="23" t="s">
        <v>63</v>
      </c>
      <c r="E2" s="23" t="s">
        <v>30</v>
      </c>
      <c r="F2">
        <v>30</v>
      </c>
      <c r="G2">
        <f t="shared" ref="G2:G8" si="0">(E2-D2)*24</f>
        <v>13</v>
      </c>
      <c r="H2">
        <f>MIN(G2,9)</f>
        <v>9</v>
      </c>
      <c r="I2" s="7">
        <f>IF(MAX(G2-9,0) - 1 &lt; 0, 0, MAX(G2-9,0) - 1)</f>
        <v>3</v>
      </c>
      <c r="J2">
        <f t="shared" ref="J2:J8" si="1">H2*F2</f>
        <v>270</v>
      </c>
      <c r="K2">
        <f t="shared" ref="K2:K8" si="2">I2*F2*1.2</f>
        <v>108</v>
      </c>
      <c r="L2">
        <f t="shared" ref="L2:L8" si="3">J2+K2</f>
        <v>378</v>
      </c>
    </row>
    <row r="3" spans="1:12">
      <c r="A3" t="s">
        <v>34</v>
      </c>
      <c r="B3" s="2" t="s">
        <v>96</v>
      </c>
      <c r="C3" s="30" t="s">
        <v>129</v>
      </c>
      <c r="D3" s="31" t="s">
        <v>63</v>
      </c>
      <c r="E3" s="23" t="s">
        <v>30</v>
      </c>
      <c r="F3">
        <v>30</v>
      </c>
      <c r="G3">
        <f t="shared" si="0"/>
        <v>13</v>
      </c>
      <c r="H3">
        <f t="shared" ref="H3:H8" si="4">MIN(G3,9)</f>
        <v>9</v>
      </c>
      <c r="I3" s="7">
        <f t="shared" ref="I3:I8" si="5">IF(MAX(G3-9,0) - 1 &lt; 0, 0, MAX(G3-9,0) - 1)</f>
        <v>3</v>
      </c>
      <c r="J3">
        <f t="shared" si="1"/>
        <v>270</v>
      </c>
      <c r="K3">
        <f t="shared" si="2"/>
        <v>108</v>
      </c>
      <c r="L3">
        <f t="shared" si="3"/>
        <v>378</v>
      </c>
    </row>
    <row r="4" spans="1:12">
      <c r="A4" t="s">
        <v>34</v>
      </c>
      <c r="B4" s="2" t="s">
        <v>96</v>
      </c>
      <c r="C4" s="30" t="s">
        <v>130</v>
      </c>
      <c r="D4" s="23" t="s">
        <v>63</v>
      </c>
      <c r="E4" s="23" t="s">
        <v>30</v>
      </c>
      <c r="F4">
        <v>30</v>
      </c>
      <c r="G4">
        <f t="shared" si="0"/>
        <v>13</v>
      </c>
      <c r="H4">
        <f t="shared" si="4"/>
        <v>9</v>
      </c>
      <c r="I4" s="7">
        <f t="shared" si="5"/>
        <v>3</v>
      </c>
      <c r="J4">
        <f t="shared" si="1"/>
        <v>270</v>
      </c>
      <c r="K4">
        <f t="shared" si="2"/>
        <v>108</v>
      </c>
      <c r="L4">
        <f t="shared" si="3"/>
        <v>378</v>
      </c>
    </row>
    <row r="5" spans="1:12">
      <c r="A5" t="s">
        <v>34</v>
      </c>
      <c r="B5" s="2" t="s">
        <v>96</v>
      </c>
      <c r="C5" s="30" t="s">
        <v>131</v>
      </c>
      <c r="D5" s="23" t="s">
        <v>32</v>
      </c>
      <c r="E5" s="23" t="s">
        <v>32</v>
      </c>
      <c r="F5">
        <v>30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34</v>
      </c>
      <c r="B6" s="2" t="s">
        <v>96</v>
      </c>
      <c r="C6" s="30" t="s">
        <v>132</v>
      </c>
      <c r="D6" s="23" t="s">
        <v>63</v>
      </c>
      <c r="E6" s="23" t="s">
        <v>55</v>
      </c>
      <c r="F6">
        <v>30</v>
      </c>
      <c r="G6">
        <f t="shared" si="0"/>
        <v>12.5</v>
      </c>
      <c r="H6">
        <f t="shared" si="4"/>
        <v>9</v>
      </c>
      <c r="I6" s="7">
        <f t="shared" si="5"/>
        <v>2.5</v>
      </c>
      <c r="J6">
        <f t="shared" si="1"/>
        <v>270</v>
      </c>
      <c r="K6">
        <f t="shared" si="2"/>
        <v>90</v>
      </c>
      <c r="L6">
        <f t="shared" si="3"/>
        <v>360</v>
      </c>
    </row>
    <row r="7" spans="1:12">
      <c r="A7" t="s">
        <v>34</v>
      </c>
      <c r="B7" s="2" t="s">
        <v>96</v>
      </c>
      <c r="C7" s="30" t="s">
        <v>133</v>
      </c>
      <c r="D7" s="23" t="s">
        <v>126</v>
      </c>
      <c r="E7" s="23" t="s">
        <v>30</v>
      </c>
      <c r="F7">
        <v>33.75</v>
      </c>
      <c r="G7">
        <f t="shared" si="0"/>
        <v>9</v>
      </c>
      <c r="H7">
        <f>MIN(G7,8)</f>
        <v>8</v>
      </c>
      <c r="I7" s="7">
        <f>IF(MAX(G7-8,0) - 1 &lt; 0, 0, MAX(G7-8,0) - 1)</f>
        <v>0</v>
      </c>
      <c r="J7">
        <f t="shared" si="1"/>
        <v>270</v>
      </c>
      <c r="K7">
        <f t="shared" si="2"/>
        <v>0</v>
      </c>
      <c r="L7">
        <f t="shared" si="3"/>
        <v>270</v>
      </c>
    </row>
    <row r="8" spans="1:12">
      <c r="A8" t="s">
        <v>34</v>
      </c>
      <c r="B8" s="2" t="s">
        <v>96</v>
      </c>
      <c r="C8" s="30" t="s">
        <v>134</v>
      </c>
      <c r="D8" s="23" t="s">
        <v>109</v>
      </c>
      <c r="E8" s="23" t="s">
        <v>30</v>
      </c>
      <c r="F8">
        <v>33.75</v>
      </c>
      <c r="G8">
        <f t="shared" si="0"/>
        <v>11.999999999999998</v>
      </c>
      <c r="H8">
        <f>MIN(G8,8)</f>
        <v>8</v>
      </c>
      <c r="I8" s="7">
        <f>IF(MAX(G8-8,0) - 1 &lt; 0, 0, MAX(G8-8,0) - 1)</f>
        <v>2.9999999999999982</v>
      </c>
      <c r="J8">
        <f t="shared" si="1"/>
        <v>270</v>
      </c>
      <c r="K8">
        <f t="shared" si="2"/>
        <v>121.49999999999993</v>
      </c>
      <c r="L8">
        <f t="shared" si="3"/>
        <v>391.49999999999994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34</v>
      </c>
      <c r="B15" s="8">
        <f>SUM(J2:J13)</f>
        <v>1620</v>
      </c>
      <c r="C15" s="8">
        <f>SUM(K2:K13)</f>
        <v>535.49999999999989</v>
      </c>
      <c r="D15" s="8">
        <f>SUM(L2:L13)</f>
        <v>2155.5</v>
      </c>
    </row>
    <row r="23" spans="1:4" ht="21.6" customHeight="1">
      <c r="A23" s="34" t="s">
        <v>40</v>
      </c>
      <c r="B23" s="34"/>
      <c r="C23" s="15"/>
      <c r="D23" s="9"/>
    </row>
    <row r="24" spans="1:4">
      <c r="A24" s="10" t="s">
        <v>41</v>
      </c>
      <c r="B24" s="11" t="str">
        <f>A2</f>
        <v>Mark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46139</v>
      </c>
      <c r="C26" s="16"/>
    </row>
    <row r="27" spans="1:4">
      <c r="A27" s="10" t="s">
        <v>51</v>
      </c>
      <c r="B27" s="10" t="str">
        <f>Kent!B27</f>
        <v>Apr-20 to Apr-26, 2026</v>
      </c>
      <c r="C27" s="16"/>
    </row>
    <row r="28" spans="1:4">
      <c r="A28" s="10" t="s">
        <v>64</v>
      </c>
      <c r="B28" s="10">
        <f>COUNTIF(D2:D8, "*:*")</f>
        <v>6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1620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535.49999999999989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2155.5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2155.5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0"/>
  <sheetViews>
    <sheetView workbookViewId="0">
      <selection activeCell="E6" sqref="E6"/>
    </sheetView>
  </sheetViews>
  <sheetFormatPr defaultColWidth="15.44140625" defaultRowHeight="14.4"/>
  <cols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168</v>
      </c>
      <c r="B2" s="2" t="s">
        <v>20</v>
      </c>
      <c r="C2" s="30" t="s">
        <v>112</v>
      </c>
      <c r="D2" s="31" t="s">
        <v>32</v>
      </c>
      <c r="E2" s="31" t="s">
        <v>32</v>
      </c>
      <c r="F2">
        <v>27.77</v>
      </c>
      <c r="G2" s="25">
        <f t="shared" ref="G2:G8" si="0">(E2-D2)*24</f>
        <v>0</v>
      </c>
      <c r="H2" s="25">
        <f>MIN(G2,8)</f>
        <v>0</v>
      </c>
      <c r="I2" s="7">
        <f>IF(MAX(G2-9,0) - 1 &lt; 0, 0, MAX(G2-9,0)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168</v>
      </c>
      <c r="B3" s="2" t="s">
        <v>20</v>
      </c>
      <c r="C3" s="30" t="s">
        <v>113</v>
      </c>
      <c r="D3" s="31" t="s">
        <v>32</v>
      </c>
      <c r="E3" s="31" t="s">
        <v>32</v>
      </c>
      <c r="F3">
        <v>27.77</v>
      </c>
      <c r="G3" s="25">
        <f t="shared" si="0"/>
        <v>0</v>
      </c>
      <c r="H3" s="25">
        <f>MIN(G3,8)</f>
        <v>0</v>
      </c>
      <c r="I3" s="7">
        <f t="shared" ref="I3:I8" si="4">IF(MAX(G3-9,0) - 1 &lt; 0, 0, MAX(G3-9,0)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168</v>
      </c>
      <c r="B4" s="2" t="s">
        <v>20</v>
      </c>
      <c r="C4" s="30" t="s">
        <v>114</v>
      </c>
      <c r="D4" s="31" t="s">
        <v>32</v>
      </c>
      <c r="E4" s="31" t="s">
        <v>32</v>
      </c>
      <c r="F4">
        <v>27.77</v>
      </c>
      <c r="G4" s="25">
        <f t="shared" si="0"/>
        <v>0</v>
      </c>
      <c r="H4" s="25">
        <f>MIN(G4,8)</f>
        <v>0</v>
      </c>
      <c r="I4" s="7">
        <f t="shared" si="4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168</v>
      </c>
      <c r="B5" s="2" t="s">
        <v>20</v>
      </c>
      <c r="C5" s="30" t="s">
        <v>115</v>
      </c>
      <c r="D5" s="31" t="s">
        <v>32</v>
      </c>
      <c r="E5" s="31" t="s">
        <v>32</v>
      </c>
      <c r="F5">
        <v>27.77</v>
      </c>
      <c r="G5" s="25">
        <f t="shared" si="0"/>
        <v>0</v>
      </c>
      <c r="H5" s="25">
        <f>MIN(G5,8)</f>
        <v>0</v>
      </c>
      <c r="I5" s="7">
        <f t="shared" si="4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168</v>
      </c>
      <c r="B6" s="2" t="s">
        <v>20</v>
      </c>
      <c r="C6" s="30" t="s">
        <v>116</v>
      </c>
      <c r="D6" s="31" t="s">
        <v>32</v>
      </c>
      <c r="E6" s="31" t="s">
        <v>32</v>
      </c>
      <c r="F6">
        <v>27.77</v>
      </c>
      <c r="G6" s="25">
        <f t="shared" si="0"/>
        <v>0</v>
      </c>
      <c r="H6" s="25">
        <f>MIN(G6,8)</f>
        <v>0</v>
      </c>
      <c r="I6" s="7">
        <f t="shared" si="4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168</v>
      </c>
      <c r="B7" s="2" t="s">
        <v>20</v>
      </c>
      <c r="C7" s="30" t="s">
        <v>117</v>
      </c>
      <c r="D7" s="31" t="s">
        <v>32</v>
      </c>
      <c r="E7" s="31" t="s">
        <v>32</v>
      </c>
      <c r="F7">
        <v>27.77</v>
      </c>
      <c r="G7" s="7">
        <f t="shared" si="0"/>
        <v>0</v>
      </c>
      <c r="H7" s="7">
        <f>MIN(G7,9)</f>
        <v>0</v>
      </c>
      <c r="I7" s="7">
        <f t="shared" si="4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168</v>
      </c>
      <c r="B8" s="2" t="s">
        <v>20</v>
      </c>
      <c r="C8" s="30" t="s">
        <v>118</v>
      </c>
      <c r="D8" s="31" t="s">
        <v>32</v>
      </c>
      <c r="E8" s="31" t="s">
        <v>32</v>
      </c>
      <c r="F8">
        <v>27.77</v>
      </c>
      <c r="G8" s="7">
        <f t="shared" si="0"/>
        <v>0</v>
      </c>
      <c r="H8" s="7">
        <f>MIN(G8,9)</f>
        <v>0</v>
      </c>
      <c r="I8" s="7">
        <f t="shared" si="4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16</v>
      </c>
      <c r="B15" s="8">
        <f>SUM(J2:J13)</f>
        <v>0</v>
      </c>
      <c r="C15" s="8">
        <f>SUM(K2:K13)</f>
        <v>0</v>
      </c>
      <c r="D15" s="8">
        <f>SUM(L2:L13)</f>
        <v>0</v>
      </c>
    </row>
    <row r="23" spans="1:4" ht="21.6" customHeight="1">
      <c r="A23" s="34" t="s">
        <v>40</v>
      </c>
      <c r="B23" s="34"/>
      <c r="C23" s="15"/>
      <c r="D23" s="9"/>
    </row>
    <row r="24" spans="1:4">
      <c r="A24" s="10" t="s">
        <v>41</v>
      </c>
      <c r="B24" s="11" t="str">
        <f>A2</f>
        <v>Kim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46125</v>
      </c>
      <c r="C26" s="16"/>
    </row>
    <row r="27" spans="1:4">
      <c r="A27" s="10" t="s">
        <v>51</v>
      </c>
      <c r="B27" s="10" t="str">
        <f>Kent!B27</f>
        <v>Apr-20 to Apr-26, 2026</v>
      </c>
      <c r="C27" s="16"/>
    </row>
    <row r="28" spans="1:4">
      <c r="A28" s="10" t="s">
        <v>64</v>
      </c>
      <c r="B28" s="10">
        <f>COUNTIF(D2:D8, "*:*")</f>
        <v>0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0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0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0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3D3B-9F1A-4EC6-AD6F-B45DB033429E}">
  <dimension ref="A1:L40"/>
  <sheetViews>
    <sheetView topLeftCell="A13" workbookViewId="0">
      <selection activeCell="C33" sqref="C33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74</v>
      </c>
      <c r="B2" s="2" t="s">
        <v>60</v>
      </c>
      <c r="C2" s="4" t="s">
        <v>65</v>
      </c>
      <c r="D2" s="28" t="s">
        <v>63</v>
      </c>
      <c r="E2" s="23" t="s">
        <v>32</v>
      </c>
      <c r="G2" s="7"/>
      <c r="H2" s="7"/>
      <c r="I2" s="7"/>
      <c r="J2" s="7"/>
      <c r="K2" s="7"/>
      <c r="L2" s="27">
        <v>420</v>
      </c>
    </row>
    <row r="3" spans="1:12">
      <c r="A3" t="s">
        <v>74</v>
      </c>
      <c r="B3" s="2" t="s">
        <v>60</v>
      </c>
      <c r="C3" s="4" t="s">
        <v>66</v>
      </c>
      <c r="D3" s="28" t="s">
        <v>72</v>
      </c>
      <c r="E3" s="23" t="s">
        <v>32</v>
      </c>
      <c r="G3" s="7"/>
      <c r="H3" s="7"/>
      <c r="I3" s="7"/>
      <c r="J3" s="7"/>
      <c r="K3" s="7"/>
      <c r="L3" s="27">
        <v>520</v>
      </c>
    </row>
    <row r="4" spans="1:12">
      <c r="A4" t="s">
        <v>74</v>
      </c>
      <c r="B4" s="2" t="s">
        <v>60</v>
      </c>
      <c r="C4" s="4" t="s">
        <v>67</v>
      </c>
      <c r="D4" s="28" t="s">
        <v>75</v>
      </c>
      <c r="E4" s="23" t="s">
        <v>32</v>
      </c>
      <c r="G4" s="7"/>
      <c r="H4" s="7"/>
      <c r="I4" s="7"/>
      <c r="J4" s="7"/>
      <c r="K4" s="7"/>
      <c r="L4" s="27">
        <v>400</v>
      </c>
    </row>
    <row r="5" spans="1:12">
      <c r="A5" t="s">
        <v>74</v>
      </c>
      <c r="B5" s="2" t="s">
        <v>60</v>
      </c>
      <c r="C5" s="4" t="s">
        <v>68</v>
      </c>
      <c r="D5" s="28" t="s">
        <v>76</v>
      </c>
      <c r="E5" s="23" t="s">
        <v>32</v>
      </c>
      <c r="G5" s="7"/>
      <c r="H5" s="7"/>
      <c r="I5" s="7"/>
      <c r="J5" s="7"/>
      <c r="K5" s="7"/>
      <c r="L5" s="27">
        <v>400</v>
      </c>
    </row>
    <row r="6" spans="1:12">
      <c r="A6" t="s">
        <v>74</v>
      </c>
      <c r="B6" s="2" t="s">
        <v>60</v>
      </c>
      <c r="C6" s="4" t="s">
        <v>69</v>
      </c>
      <c r="D6" s="28" t="s">
        <v>77</v>
      </c>
      <c r="E6" s="23" t="s">
        <v>32</v>
      </c>
      <c r="G6" s="7"/>
      <c r="H6" s="7"/>
      <c r="I6" s="7"/>
      <c r="J6" s="7"/>
      <c r="K6" s="7"/>
      <c r="L6" s="27">
        <v>400</v>
      </c>
    </row>
    <row r="7" spans="1:12">
      <c r="A7" t="s">
        <v>74</v>
      </c>
      <c r="B7" s="26" t="s">
        <v>62</v>
      </c>
      <c r="C7" s="4" t="s">
        <v>70</v>
      </c>
      <c r="D7" s="28" t="s">
        <v>78</v>
      </c>
      <c r="E7" s="23" t="s">
        <v>32</v>
      </c>
      <c r="G7" s="7"/>
      <c r="H7" s="7"/>
      <c r="I7" s="7"/>
      <c r="J7" s="7"/>
      <c r="K7" s="7"/>
      <c r="L7" s="27">
        <v>430</v>
      </c>
    </row>
    <row r="8" spans="1:12">
      <c r="A8" t="s">
        <v>74</v>
      </c>
      <c r="B8" s="26" t="s">
        <v>62</v>
      </c>
      <c r="C8" s="4" t="s">
        <v>71</v>
      </c>
      <c r="D8" s="28" t="s">
        <v>32</v>
      </c>
      <c r="E8" s="23" t="s">
        <v>32</v>
      </c>
      <c r="G8" s="7"/>
      <c r="H8" s="7"/>
      <c r="I8" s="7"/>
      <c r="J8" s="7"/>
      <c r="K8" s="7"/>
      <c r="L8" s="7"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59</v>
      </c>
      <c r="B15" s="8">
        <f>SUM(J2:J13)</f>
        <v>0</v>
      </c>
      <c r="C15" s="8">
        <f>SUM(K2:K13)</f>
        <v>0</v>
      </c>
      <c r="D15" s="8">
        <f>SUM(L2:L13)</f>
        <v>2570</v>
      </c>
    </row>
    <row r="23" spans="1:4" ht="21.6" customHeight="1">
      <c r="A23" s="34" t="s">
        <v>40</v>
      </c>
      <c r="B23" s="34"/>
      <c r="C23" s="15"/>
      <c r="D23" s="9"/>
    </row>
    <row r="24" spans="1:4">
      <c r="A24" s="10" t="s">
        <v>41</v>
      </c>
      <c r="B24" s="11" t="str">
        <f>A2</f>
        <v>David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46069</v>
      </c>
      <c r="C26" s="16"/>
    </row>
    <row r="27" spans="1:4">
      <c r="A27" s="10" t="s">
        <v>51</v>
      </c>
      <c r="B27" s="10" t="str">
        <f>Kent!B27</f>
        <v>Apr-20 to Apr-26, 2026</v>
      </c>
      <c r="C27" s="16"/>
    </row>
    <row r="28" spans="1:4">
      <c r="A28" s="10" t="s">
        <v>64</v>
      </c>
      <c r="B28" s="10">
        <f>COUNTIF(D2:D8, "*:*")</f>
        <v>6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0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2570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2570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2"/>
  <sheetViews>
    <sheetView workbookViewId="0">
      <pane ySplit="1" topLeftCell="A2" activePane="bottomLeft" state="frozen"/>
      <selection pane="bottomLeft" activeCell="F34" sqref="F34"/>
    </sheetView>
  </sheetViews>
  <sheetFormatPr defaultColWidth="12.8867187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</v>
      </c>
      <c r="B2" s="2" t="s">
        <v>19</v>
      </c>
      <c r="C2" s="30" t="s">
        <v>104</v>
      </c>
      <c r="D2" s="5" t="s">
        <v>31</v>
      </c>
      <c r="E2" s="5" t="s">
        <v>97</v>
      </c>
      <c r="F2">
        <v>34.18</v>
      </c>
      <c r="G2">
        <f t="shared" ref="G2:G8" si="0">(E2-D2)*24</f>
        <v>10.499999999999998</v>
      </c>
      <c r="H2">
        <f>MIN(G2,9)</f>
        <v>9</v>
      </c>
      <c r="I2" s="7">
        <f>IF(MAX(G2-9,0) - 1 &lt; 0, 0, MAX(G2-9,0) - 1)</f>
        <v>0.49999999999999822</v>
      </c>
      <c r="J2">
        <f t="shared" ref="J2:J8" si="1">H2*F2</f>
        <v>307.62</v>
      </c>
      <c r="K2" s="7">
        <f t="shared" ref="K2:K8" si="2">I2*F2*1.2</f>
        <v>20.507999999999928</v>
      </c>
      <c r="L2">
        <f t="shared" ref="L2:L8" si="3">J2+K2</f>
        <v>328.12799999999993</v>
      </c>
    </row>
    <row r="3" spans="1:12">
      <c r="A3" t="s">
        <v>10</v>
      </c>
      <c r="B3" s="2" t="s">
        <v>19</v>
      </c>
      <c r="C3" s="30" t="s">
        <v>98</v>
      </c>
      <c r="D3" s="5" t="s">
        <v>31</v>
      </c>
      <c r="E3" s="5" t="s">
        <v>61</v>
      </c>
      <c r="F3">
        <v>34.18</v>
      </c>
      <c r="G3">
        <f t="shared" si="0"/>
        <v>8.5</v>
      </c>
      <c r="H3">
        <f t="shared" ref="H3:H8" si="4">MIN(G3,9)</f>
        <v>8.5</v>
      </c>
      <c r="I3" s="7">
        <f t="shared" ref="I3:I8" si="5">IF(MAX(G3-9,0) - 1 &lt; 0, 0, MAX(G3-9,0) - 1)</f>
        <v>0</v>
      </c>
      <c r="J3">
        <f t="shared" si="1"/>
        <v>290.52999999999997</v>
      </c>
      <c r="K3" s="7">
        <f t="shared" si="2"/>
        <v>0</v>
      </c>
      <c r="L3">
        <f t="shared" si="3"/>
        <v>290.52999999999997</v>
      </c>
    </row>
    <row r="4" spans="1:12">
      <c r="A4" t="s">
        <v>10</v>
      </c>
      <c r="B4" s="2" t="s">
        <v>19</v>
      </c>
      <c r="C4" s="30" t="s">
        <v>99</v>
      </c>
      <c r="D4" s="5" t="s">
        <v>31</v>
      </c>
      <c r="E4" s="5" t="s">
        <v>73</v>
      </c>
      <c r="F4">
        <v>34.18</v>
      </c>
      <c r="G4">
        <f t="shared" si="0"/>
        <v>7.4999999999999982</v>
      </c>
      <c r="H4">
        <f t="shared" si="4"/>
        <v>7.4999999999999982</v>
      </c>
      <c r="I4" s="7">
        <f t="shared" si="5"/>
        <v>0</v>
      </c>
      <c r="J4">
        <f t="shared" si="1"/>
        <v>256.34999999999991</v>
      </c>
      <c r="K4" s="7">
        <f t="shared" si="2"/>
        <v>0</v>
      </c>
      <c r="L4">
        <f t="shared" si="3"/>
        <v>256.34999999999991</v>
      </c>
    </row>
    <row r="5" spans="1:12">
      <c r="A5" t="s">
        <v>10</v>
      </c>
      <c r="B5" s="2" t="s">
        <v>19</v>
      </c>
      <c r="C5" s="30" t="s">
        <v>100</v>
      </c>
      <c r="D5" s="5" t="s">
        <v>31</v>
      </c>
      <c r="E5" s="5" t="s">
        <v>55</v>
      </c>
      <c r="F5">
        <v>34.18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307.62</v>
      </c>
      <c r="K5" s="7">
        <f t="shared" si="2"/>
        <v>123.04800000000007</v>
      </c>
      <c r="L5">
        <f t="shared" si="3"/>
        <v>430.66800000000006</v>
      </c>
    </row>
    <row r="6" spans="1:12">
      <c r="A6" t="s">
        <v>10</v>
      </c>
      <c r="B6" s="2" t="s">
        <v>19</v>
      </c>
      <c r="C6" s="30" t="s">
        <v>101</v>
      </c>
      <c r="D6" s="5" t="s">
        <v>32</v>
      </c>
      <c r="E6" s="5" t="s">
        <v>32</v>
      </c>
      <c r="F6">
        <v>34.18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 s="7">
        <f t="shared" si="2"/>
        <v>0</v>
      </c>
      <c r="L6">
        <f t="shared" si="3"/>
        <v>0</v>
      </c>
    </row>
    <row r="7" spans="1:12">
      <c r="A7" t="s">
        <v>10</v>
      </c>
      <c r="B7" s="2" t="s">
        <v>19</v>
      </c>
      <c r="C7" s="30" t="s">
        <v>102</v>
      </c>
      <c r="D7" s="5" t="s">
        <v>32</v>
      </c>
      <c r="E7" s="5" t="s">
        <v>32</v>
      </c>
      <c r="F7">
        <v>34.18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 s="7">
        <f t="shared" si="2"/>
        <v>0</v>
      </c>
      <c r="L7">
        <f t="shared" si="3"/>
        <v>0</v>
      </c>
    </row>
    <row r="8" spans="1:12">
      <c r="A8" t="s">
        <v>10</v>
      </c>
      <c r="B8" s="2" t="s">
        <v>19</v>
      </c>
      <c r="C8" s="30" t="s">
        <v>103</v>
      </c>
      <c r="D8" s="5" t="s">
        <v>32</v>
      </c>
      <c r="E8" s="5" t="s">
        <v>32</v>
      </c>
      <c r="F8">
        <v>34.18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 s="7">
        <f t="shared" si="2"/>
        <v>0</v>
      </c>
      <c r="L8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10</v>
      </c>
      <c r="B15" s="8">
        <f>SUM(J2:J13)</f>
        <v>1162.1199999999999</v>
      </c>
      <c r="C15" s="8">
        <f>SUM(K2:K13)</f>
        <v>143.55600000000001</v>
      </c>
      <c r="D15" s="8">
        <f>SUM(L2:L13)</f>
        <v>1305.6759999999999</v>
      </c>
    </row>
    <row r="23" spans="1:4" ht="21.6" customHeight="1">
      <c r="A23" s="34" t="s">
        <v>40</v>
      </c>
      <c r="B23" s="34"/>
      <c r="C23" s="15"/>
      <c r="D23" s="9"/>
    </row>
    <row r="24" spans="1:4">
      <c r="A24" s="10" t="s">
        <v>41</v>
      </c>
      <c r="B24" s="11" t="str">
        <f>A2</f>
        <v>Chadiyah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46083</v>
      </c>
      <c r="C26" s="16"/>
    </row>
    <row r="27" spans="1:4">
      <c r="A27" s="10" t="s">
        <v>51</v>
      </c>
      <c r="B27" s="10" t="str">
        <f>Kent!B27</f>
        <v>Apr-20 to Apr-26, 2026</v>
      </c>
      <c r="C27" s="16"/>
    </row>
    <row r="28" spans="1:4">
      <c r="A28" s="10" t="s">
        <v>64</v>
      </c>
      <c r="B28" s="10">
        <f>COUNTIF(D2:D8, "*:*")</f>
        <v>4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1162.1199999999999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143.55600000000001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1305.6759999999999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1305.6759999999999</v>
      </c>
      <c r="C40" s="16"/>
    </row>
    <row r="41" spans="1:3">
      <c r="B41">
        <v>-367</v>
      </c>
    </row>
    <row r="42" spans="1:3">
      <c r="B42" s="29">
        <f>SUM(B40:B41)</f>
        <v>938.67599999999993</v>
      </c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E5D-73F0-4E00-9429-CB6467F98475}">
  <dimension ref="A1:L40"/>
  <sheetViews>
    <sheetView topLeftCell="A16" workbookViewId="0">
      <selection activeCell="G28" sqref="G28"/>
    </sheetView>
  </sheetViews>
  <sheetFormatPr defaultColWidth="14.6640625" defaultRowHeight="14.4"/>
  <cols>
    <col min="1" max="1" width="15.109375" bestFit="1" customWidth="1"/>
    <col min="2" max="2" width="19.44140625" bestFit="1" customWidth="1"/>
    <col min="6" max="12" width="14.6640625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59</v>
      </c>
      <c r="B2" s="2" t="s">
        <v>60</v>
      </c>
      <c r="C2" s="4" t="s">
        <v>80</v>
      </c>
      <c r="D2" s="23" t="s">
        <v>32</v>
      </c>
      <c r="E2" s="23" t="s">
        <v>32</v>
      </c>
      <c r="F2">
        <v>22.22</v>
      </c>
      <c r="G2" s="7">
        <f t="shared" ref="G2:G8" si="0">(E2-D2)*24</f>
        <v>0</v>
      </c>
      <c r="H2" s="7">
        <f t="shared" ref="H2:H8" si="1">MIN(G2,9)</f>
        <v>0</v>
      </c>
      <c r="I2" s="7">
        <f>IF(MAX(G2-9,0) - 1 &lt; 0, 0, MAX(G2-9,0) - 1)</f>
        <v>0</v>
      </c>
      <c r="J2" s="7">
        <f t="shared" ref="J2:J8" si="2">H2*F2</f>
        <v>0</v>
      </c>
      <c r="K2" s="7">
        <f t="shared" ref="K2:K8" si="3">I2*F2*1.2</f>
        <v>0</v>
      </c>
      <c r="L2" s="7">
        <f t="shared" ref="L2:L8" si="4">J2+K2</f>
        <v>0</v>
      </c>
    </row>
    <row r="3" spans="1:12">
      <c r="A3" t="s">
        <v>59</v>
      </c>
      <c r="B3" s="2" t="s">
        <v>60</v>
      </c>
      <c r="C3" s="4" t="s">
        <v>82</v>
      </c>
      <c r="D3" s="23" t="s">
        <v>32</v>
      </c>
      <c r="E3" s="23" t="s">
        <v>32</v>
      </c>
      <c r="F3">
        <v>22.22</v>
      </c>
      <c r="G3" s="7">
        <f t="shared" si="0"/>
        <v>0</v>
      </c>
      <c r="H3" s="7">
        <f t="shared" si="1"/>
        <v>0</v>
      </c>
      <c r="I3" s="7">
        <f t="shared" ref="I3:I8" si="5">IF(MAX(G3-9,0) - 1 &lt; 0, 0, MAX(G3-9,0) - 1)</f>
        <v>0</v>
      </c>
      <c r="J3" s="7">
        <f t="shared" si="2"/>
        <v>0</v>
      </c>
      <c r="K3" s="7">
        <f t="shared" si="3"/>
        <v>0</v>
      </c>
      <c r="L3" s="7">
        <f t="shared" si="4"/>
        <v>0</v>
      </c>
    </row>
    <row r="4" spans="1:12">
      <c r="A4" t="s">
        <v>59</v>
      </c>
      <c r="B4" s="2" t="s">
        <v>60</v>
      </c>
      <c r="C4" s="4" t="s">
        <v>83</v>
      </c>
      <c r="D4" s="23" t="s">
        <v>61</v>
      </c>
      <c r="E4" s="23" t="s">
        <v>58</v>
      </c>
      <c r="F4">
        <v>22.22</v>
      </c>
      <c r="G4" s="7">
        <f t="shared" si="0"/>
        <v>3.9999999999999991</v>
      </c>
      <c r="H4" s="7">
        <f t="shared" si="1"/>
        <v>3.9999999999999991</v>
      </c>
      <c r="I4" s="7">
        <f t="shared" si="5"/>
        <v>0</v>
      </c>
      <c r="J4" s="7">
        <f t="shared" si="2"/>
        <v>88.879999999999981</v>
      </c>
      <c r="K4" s="7">
        <f t="shared" si="3"/>
        <v>0</v>
      </c>
      <c r="L4" s="7">
        <v>100</v>
      </c>
    </row>
    <row r="5" spans="1:12">
      <c r="A5" t="s">
        <v>59</v>
      </c>
      <c r="B5" s="2" t="s">
        <v>60</v>
      </c>
      <c r="C5" s="4" t="s">
        <v>84</v>
      </c>
      <c r="D5" s="23" t="s">
        <v>61</v>
      </c>
      <c r="E5" s="23" t="s">
        <v>58</v>
      </c>
      <c r="F5">
        <v>22.22</v>
      </c>
      <c r="G5" s="7">
        <f>(E5-D5)*24</f>
        <v>3.9999999999999991</v>
      </c>
      <c r="H5" s="7">
        <f t="shared" si="1"/>
        <v>3.9999999999999991</v>
      </c>
      <c r="I5" s="7">
        <f t="shared" si="5"/>
        <v>0</v>
      </c>
      <c r="J5" s="7">
        <f t="shared" si="2"/>
        <v>88.879999999999981</v>
      </c>
      <c r="K5" s="7">
        <f t="shared" si="3"/>
        <v>0</v>
      </c>
      <c r="L5" s="7">
        <v>100</v>
      </c>
    </row>
    <row r="6" spans="1:12">
      <c r="A6" t="s">
        <v>59</v>
      </c>
      <c r="B6" s="2" t="s">
        <v>60</v>
      </c>
      <c r="C6" s="4" t="s">
        <v>85</v>
      </c>
      <c r="D6" s="23" t="s">
        <v>61</v>
      </c>
      <c r="E6" s="23" t="s">
        <v>58</v>
      </c>
      <c r="F6">
        <v>22.22</v>
      </c>
      <c r="G6" s="7">
        <f>(E6-D6)*24</f>
        <v>3.9999999999999991</v>
      </c>
      <c r="H6" s="7">
        <f t="shared" si="1"/>
        <v>3.9999999999999991</v>
      </c>
      <c r="I6" s="7">
        <f t="shared" si="5"/>
        <v>0</v>
      </c>
      <c r="J6" s="7">
        <f t="shared" si="2"/>
        <v>88.879999999999981</v>
      </c>
      <c r="K6" s="7">
        <f t="shared" si="3"/>
        <v>0</v>
      </c>
      <c r="L6" s="7">
        <v>100</v>
      </c>
    </row>
    <row r="7" spans="1:12">
      <c r="A7" t="s">
        <v>59</v>
      </c>
      <c r="B7" s="26" t="s">
        <v>62</v>
      </c>
      <c r="C7" s="4" t="s">
        <v>86</v>
      </c>
      <c r="D7" s="23" t="s">
        <v>87</v>
      </c>
      <c r="E7" s="23" t="s">
        <v>58</v>
      </c>
      <c r="F7">
        <v>22.22</v>
      </c>
      <c r="G7" s="7">
        <f t="shared" si="0"/>
        <v>12.05</v>
      </c>
      <c r="H7" s="7">
        <f t="shared" si="1"/>
        <v>9</v>
      </c>
      <c r="I7" s="7">
        <f t="shared" si="5"/>
        <v>2.0500000000000007</v>
      </c>
      <c r="J7" s="7">
        <f t="shared" si="2"/>
        <v>199.98</v>
      </c>
      <c r="K7" s="7">
        <f t="shared" si="3"/>
        <v>54.661200000000015</v>
      </c>
      <c r="L7" s="7">
        <f t="shared" si="4"/>
        <v>254.6412</v>
      </c>
    </row>
    <row r="8" spans="1:12">
      <c r="A8" t="s">
        <v>59</v>
      </c>
      <c r="B8" s="26" t="s">
        <v>62</v>
      </c>
      <c r="C8" s="4" t="s">
        <v>88</v>
      </c>
      <c r="D8" s="23" t="s">
        <v>89</v>
      </c>
      <c r="E8" s="23" t="s">
        <v>58</v>
      </c>
      <c r="F8">
        <v>22.22</v>
      </c>
      <c r="G8" s="7">
        <f t="shared" si="0"/>
        <v>8.6166666666666654</v>
      </c>
      <c r="H8" s="7">
        <f t="shared" si="1"/>
        <v>8.6166666666666654</v>
      </c>
      <c r="I8" s="7">
        <f t="shared" si="5"/>
        <v>0</v>
      </c>
      <c r="J8" s="7">
        <f t="shared" si="2"/>
        <v>191.46233333333331</v>
      </c>
      <c r="K8" s="7">
        <f t="shared" si="3"/>
        <v>0</v>
      </c>
      <c r="L8" s="7">
        <f t="shared" si="4"/>
        <v>191.46233333333331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59</v>
      </c>
      <c r="B15" s="8">
        <f>SUM(J2:J13)</f>
        <v>658.08233333333317</v>
      </c>
      <c r="C15" s="8">
        <f>SUM(K2:K13)</f>
        <v>54.661200000000015</v>
      </c>
      <c r="D15" s="8">
        <f>SUM(L2:L13)</f>
        <v>746.1035333333333</v>
      </c>
    </row>
    <row r="23" spans="1:4" ht="21.6" customHeight="1">
      <c r="A23" s="34" t="s">
        <v>40</v>
      </c>
      <c r="B23" s="34"/>
      <c r="C23" s="15"/>
      <c r="D23" s="9"/>
    </row>
    <row r="24" spans="1:4">
      <c r="A24" s="10" t="s">
        <v>41</v>
      </c>
      <c r="B24" s="11" t="str">
        <f>A2</f>
        <v>Lenard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46076</v>
      </c>
      <c r="C26" s="16"/>
    </row>
    <row r="27" spans="1:4">
      <c r="A27" s="10" t="s">
        <v>51</v>
      </c>
      <c r="B27" s="10" t="str">
        <f>Kent!B27</f>
        <v>Apr-20 to Apr-26, 2026</v>
      </c>
      <c r="C27" s="16"/>
    </row>
    <row r="28" spans="1:4">
      <c r="A28" s="10" t="s">
        <v>64</v>
      </c>
      <c r="B28" s="10">
        <f>COUNTIF(D2:D8, "*:*")</f>
        <v>5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658.08233333333317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54.661200000000015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746.1035333333333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746.1035333333333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E39" sqref="E39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39</v>
      </c>
      <c r="B2" s="2" t="s">
        <v>19</v>
      </c>
      <c r="C2" s="4" t="s">
        <v>23</v>
      </c>
      <c r="D2" s="5" t="s">
        <v>31</v>
      </c>
      <c r="E2" s="5" t="s">
        <v>30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>
      <c r="A3" t="s">
        <v>39</v>
      </c>
      <c r="B3" s="2" t="s">
        <v>19</v>
      </c>
      <c r="C3" s="4" t="s">
        <v>24</v>
      </c>
      <c r="D3" s="5" t="s">
        <v>31</v>
      </c>
      <c r="E3" s="5" t="s">
        <v>30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>
      <c r="A4" t="s">
        <v>39</v>
      </c>
      <c r="B4" s="2" t="s">
        <v>19</v>
      </c>
      <c r="C4" s="4" t="s">
        <v>25</v>
      </c>
      <c r="D4" s="5" t="s">
        <v>31</v>
      </c>
      <c r="E4" s="5" t="s">
        <v>30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>
      <c r="A5" t="s">
        <v>39</v>
      </c>
      <c r="B5" s="2" t="s">
        <v>19</v>
      </c>
      <c r="C5" s="4" t="s">
        <v>26</v>
      </c>
      <c r="D5" s="5" t="s">
        <v>31</v>
      </c>
      <c r="E5" s="5" t="s">
        <v>30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>
      <c r="A6" t="s">
        <v>39</v>
      </c>
      <c r="B6" s="2" t="s">
        <v>19</v>
      </c>
      <c r="C6" s="4" t="s">
        <v>27</v>
      </c>
      <c r="D6" s="5" t="s">
        <v>31</v>
      </c>
      <c r="E6" s="5" t="s">
        <v>30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>
      <c r="A7" t="s">
        <v>39</v>
      </c>
      <c r="B7" s="2" t="s">
        <v>19</v>
      </c>
      <c r="C7" s="4" t="s">
        <v>28</v>
      </c>
      <c r="D7" s="5" t="s">
        <v>31</v>
      </c>
      <c r="E7" s="5" t="s">
        <v>30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>
      <c r="A8" t="s">
        <v>39</v>
      </c>
      <c r="B8" s="2" t="s">
        <v>19</v>
      </c>
      <c r="C8" s="4" t="s">
        <v>29</v>
      </c>
      <c r="D8" s="5" t="s">
        <v>31</v>
      </c>
      <c r="E8" s="5" t="s">
        <v>30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14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>
      <c r="A23" s="34" t="s">
        <v>40</v>
      </c>
      <c r="B23" s="34"/>
      <c r="C23" s="15"/>
      <c r="D23" s="9"/>
    </row>
    <row r="24" spans="1:4">
      <c r="A24" s="10" t="s">
        <v>41</v>
      </c>
      <c r="B24" s="11" t="str">
        <f>A2</f>
        <v>Name</v>
      </c>
      <c r="C24" s="16"/>
    </row>
    <row r="25" spans="1:4">
      <c r="A25" s="10" t="s">
        <v>42</v>
      </c>
      <c r="B25" s="11" t="s">
        <v>50</v>
      </c>
      <c r="C25" s="16"/>
    </row>
    <row r="26" spans="1:4">
      <c r="A26" s="10" t="s">
        <v>43</v>
      </c>
      <c r="B26" s="12">
        <v>46041</v>
      </c>
      <c r="C26" s="16"/>
    </row>
    <row r="27" spans="1:4">
      <c r="A27" s="10" t="s">
        <v>51</v>
      </c>
      <c r="B27" s="10" t="s">
        <v>52</v>
      </c>
      <c r="C27" s="16"/>
    </row>
    <row r="28" spans="1:4">
      <c r="A28" s="10"/>
      <c r="B28" s="10"/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2692.2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807.66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3499.86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3499.86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33203125" defaultRowHeight="14.4"/>
  <cols>
    <col min="3" max="3" width="15.5546875" customWidth="1"/>
  </cols>
  <sheetData>
    <row r="1" spans="1:13">
      <c r="A1" t="s">
        <v>9</v>
      </c>
      <c r="B1" t="s">
        <v>11</v>
      </c>
      <c r="C1" t="s">
        <v>18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>
      <c r="A2" t="s">
        <v>13</v>
      </c>
      <c r="B2" s="2">
        <v>46021</v>
      </c>
      <c r="C2" s="2" t="s">
        <v>21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>
      <c r="A3" t="s">
        <v>13</v>
      </c>
      <c r="B3" s="2">
        <v>46022</v>
      </c>
      <c r="C3" s="2" t="s">
        <v>21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22</v>
      </c>
    </row>
    <row r="4" spans="1:13">
      <c r="A4" t="s">
        <v>13</v>
      </c>
      <c r="B4" s="2">
        <v>46027</v>
      </c>
      <c r="C4" s="2" t="s">
        <v>21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>
      <c r="A5" t="s">
        <v>13</v>
      </c>
      <c r="B5" s="2">
        <v>46028</v>
      </c>
      <c r="C5" s="2" t="s">
        <v>21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>
      <c r="A6" t="s">
        <v>13</v>
      </c>
      <c r="B6" s="2">
        <v>46029</v>
      </c>
      <c r="C6" s="2" t="s">
        <v>21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>
      <c r="A7" t="s">
        <v>13</v>
      </c>
      <c r="B7" s="2">
        <v>46030</v>
      </c>
      <c r="C7" s="2" t="s">
        <v>21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>
      <c r="A8" t="s">
        <v>13</v>
      </c>
      <c r="B8" s="2">
        <v>46031</v>
      </c>
      <c r="C8" s="2" t="s">
        <v>21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>
      <c r="A9" t="s">
        <v>13</v>
      </c>
      <c r="B9" s="2">
        <v>46032</v>
      </c>
      <c r="C9" s="2" t="s">
        <v>21</v>
      </c>
      <c r="D9" s="1">
        <v>0.43402777777777779</v>
      </c>
      <c r="E9" s="1">
        <v>0.90625</v>
      </c>
      <c r="F9">
        <v>29.91</v>
      </c>
      <c r="G9">
        <f>(E9-D9)*24</f>
        <v>11.333333333333332</v>
      </c>
      <c r="H9">
        <f>MIN(G9,9)</f>
        <v>9</v>
      </c>
      <c r="I9">
        <f>MAX(G9-9,0) - 1</f>
        <v>1.3333333333333321</v>
      </c>
      <c r="J9">
        <f>H9*F9</f>
        <v>269.19</v>
      </c>
      <c r="K9">
        <f>I9*F9*1.2</f>
        <v>47.855999999999959</v>
      </c>
      <c r="L9">
        <f>J9+K9</f>
        <v>317.04599999999994</v>
      </c>
    </row>
    <row r="10" spans="1:1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33203125" defaultRowHeight="14.4"/>
  <sheetData>
    <row r="1" spans="1:12">
      <c r="A1" t="s">
        <v>9</v>
      </c>
      <c r="B1" t="s">
        <v>11</v>
      </c>
      <c r="C1" t="s">
        <v>18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17</v>
      </c>
      <c r="B2" s="2">
        <v>46027</v>
      </c>
      <c r="C2" s="2"/>
      <c r="D2" s="1"/>
      <c r="E2" s="1"/>
    </row>
    <row r="3" spans="1:12">
      <c r="A3" t="s">
        <v>17</v>
      </c>
      <c r="B3" s="2">
        <v>46028</v>
      </c>
      <c r="C3" s="2"/>
      <c r="D3" s="1"/>
      <c r="E3" s="1"/>
    </row>
    <row r="4" spans="1:12">
      <c r="A4" t="s">
        <v>17</v>
      </c>
      <c r="B4" s="2">
        <v>46029</v>
      </c>
      <c r="C4" s="2"/>
      <c r="D4" s="1"/>
      <c r="E4" s="1"/>
    </row>
    <row r="5" spans="1:12">
      <c r="A5" t="s">
        <v>17</v>
      </c>
      <c r="B5" s="2">
        <v>46030</v>
      </c>
      <c r="C5" s="2"/>
      <c r="D5" s="1"/>
      <c r="E5" s="1"/>
    </row>
    <row r="6" spans="1:12">
      <c r="A6" t="s">
        <v>17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>(E6-D6)*24</f>
        <v>5.4999999999999991</v>
      </c>
      <c r="H6">
        <f>MIN(G6,9)</f>
        <v>5.4999999999999991</v>
      </c>
      <c r="I6">
        <f>MAX(G6-9,0) - 1</f>
        <v>-1</v>
      </c>
      <c r="J6">
        <f>H6*F6</f>
        <v>122.20999999999998</v>
      </c>
      <c r="L6">
        <f>J6+K6</f>
        <v>122.20999999999998</v>
      </c>
    </row>
    <row r="7" spans="1:12">
      <c r="A7" t="s">
        <v>17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>(E7-D7)*24</f>
        <v>4.9999999999999982</v>
      </c>
      <c r="H7">
        <f>MIN(G7,9)</f>
        <v>4.9999999999999982</v>
      </c>
      <c r="I7">
        <f>MAX(G7-9,0) - 1</f>
        <v>-1</v>
      </c>
      <c r="J7">
        <f>H7*F7</f>
        <v>111.09999999999995</v>
      </c>
      <c r="L7">
        <f>J7+K7</f>
        <v>111.09999999999995</v>
      </c>
    </row>
    <row r="8" spans="1:12">
      <c r="A8" t="s">
        <v>17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>(E8-D8)*24</f>
        <v>4.4833333333333334</v>
      </c>
      <c r="H8">
        <f>MIN(G8,9)</f>
        <v>4.4833333333333334</v>
      </c>
      <c r="I8">
        <f>MAX(G8-9,0) - 1</f>
        <v>-1</v>
      </c>
      <c r="J8">
        <f>H8*F8</f>
        <v>99.61966666666666</v>
      </c>
      <c r="L8">
        <f>J8+K8</f>
        <v>99.61966666666666</v>
      </c>
    </row>
    <row r="9" spans="1:12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Payslip</vt:lpstr>
      <vt:lpstr>Summary</vt:lpstr>
      <vt:lpstr>Micky</vt:lpstr>
      <vt:lpstr>Kent</vt:lpstr>
      <vt:lpstr>Jay Anne</vt:lpstr>
      <vt:lpstr>Kris</vt:lpstr>
      <vt:lpstr>Cherry</vt:lpstr>
      <vt:lpstr>Pepito</vt:lpstr>
      <vt:lpstr>Mark</vt:lpstr>
      <vt:lpstr>Kim</vt:lpstr>
      <vt:lpstr>David</vt:lpstr>
      <vt:lpstr>Chardiya</vt:lpstr>
      <vt:lpstr>Lenard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cp:lastPrinted>2026-04-27T12:26:31Z</cp:lastPrinted>
  <dcterms:created xsi:type="dcterms:W3CDTF">2025-12-15T10:27:30Z</dcterms:created>
  <dcterms:modified xsi:type="dcterms:W3CDTF">2026-04-27T12:27:21Z</dcterms:modified>
</cp:coreProperties>
</file>