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0D21DDD9-CA88-4BF2-A9BB-2B5CB3A67B41}" xr6:coauthVersionLast="47" xr6:coauthVersionMax="47" xr10:uidLastSave="{00000000-0000-0000-0000-000000000000}"/>
  <bookViews>
    <workbookView xWindow="28680" yWindow="-120" windowWidth="29040" windowHeight="15720" xr2:uid="{00BF821E-BFB9-4523-9564-A672F7161683}"/>
  </bookViews>
  <sheets>
    <sheet name="Payslip" sheetId="15" r:id="rId1"/>
    <sheet name="Summary" sheetId="17" r:id="rId2"/>
    <sheet name="Micky" sheetId="19" r:id="rId3"/>
    <sheet name="Kent" sheetId="4" r:id="rId4"/>
    <sheet name="Renelyn" sheetId="22" r:id="rId5"/>
    <sheet name="Cherry" sheetId="5" r:id="rId6"/>
    <sheet name="Mark" sheetId="11" r:id="rId7"/>
    <sheet name="Kim" sheetId="7" r:id="rId8"/>
    <sheet name="David" sheetId="18" r:id="rId9"/>
    <sheet name="Kris" sheetId="2" r:id="rId10"/>
    <sheet name="Pepito" sheetId="6" r:id="rId11"/>
    <sheet name="Jay Anne" sheetId="3" r:id="rId12"/>
    <sheet name="Sheen" sheetId="20" r:id="rId13"/>
    <sheet name="Chardiya" sheetId="1" r:id="rId14"/>
    <sheet name="Lenard" sheetId="16" r:id="rId15"/>
    <sheet name="Template" sheetId="13" r:id="rId16"/>
    <sheet name="Rhoda" sheetId="9" state="hidden" r:id="rId17"/>
    <sheet name="Kenneth" sheetId="8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18" l="1"/>
  <c r="D15" i="18"/>
  <c r="B23" i="15" l="1"/>
  <c r="B24" i="15"/>
  <c r="B25" i="15"/>
  <c r="B26" i="15"/>
  <c r="B28" i="15"/>
  <c r="B29" i="15"/>
  <c r="B30" i="15"/>
  <c r="B31" i="15"/>
  <c r="B34" i="15"/>
  <c r="B35" i="15"/>
  <c r="B36" i="15"/>
  <c r="B38" i="15"/>
  <c r="B22" i="15"/>
  <c r="B33" i="11"/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L16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L15" i="22" s="1"/>
  <c r="K16" i="22"/>
  <c r="K17" i="22"/>
  <c r="J3" i="22"/>
  <c r="L3" i="22" s="1"/>
  <c r="J4" i="22"/>
  <c r="L4" i="22" s="1"/>
  <c r="J5" i="22"/>
  <c r="L5" i="22" s="1"/>
  <c r="J6" i="22"/>
  <c r="L6" i="22" s="1"/>
  <c r="J7" i="22"/>
  <c r="L7" i="22" s="1"/>
  <c r="J8" i="22"/>
  <c r="L8" i="22" s="1"/>
  <c r="J9" i="22"/>
  <c r="L9" i="22" s="1"/>
  <c r="J10" i="22"/>
  <c r="L10" i="22" s="1"/>
  <c r="J11" i="22"/>
  <c r="L11" i="22" s="1"/>
  <c r="J12" i="22"/>
  <c r="L12" i="22" s="1"/>
  <c r="J13" i="22"/>
  <c r="L13" i="22" s="1"/>
  <c r="J14" i="22"/>
  <c r="L14" i="22" s="1"/>
  <c r="J15" i="22"/>
  <c r="J16" i="22"/>
  <c r="J17" i="22"/>
  <c r="L17" i="22" s="1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2" i="22"/>
  <c r="I2" i="22" s="1"/>
  <c r="B34" i="22"/>
  <c r="B33" i="4"/>
  <c r="B33" i="19"/>
  <c r="H2" i="22" l="1"/>
  <c r="B30" i="7"/>
  <c r="B32" i="5"/>
  <c r="B34" i="20"/>
  <c r="B32" i="7"/>
  <c r="B35" i="11"/>
  <c r="B34" i="5"/>
  <c r="B35" i="19"/>
  <c r="B36" i="20"/>
  <c r="B36" i="22"/>
  <c r="B35" i="4"/>
  <c r="G17" i="20"/>
  <c r="I17" i="20" s="1"/>
  <c r="K17" i="20" s="1"/>
  <c r="B32" i="22"/>
  <c r="G14" i="19"/>
  <c r="H14" i="19" s="1"/>
  <c r="J14" i="19" s="1"/>
  <c r="H17" i="20" l="1"/>
  <c r="J17" i="20" s="1"/>
  <c r="L17" i="20" s="1"/>
  <c r="I14" i="19"/>
  <c r="K14" i="19" s="1"/>
  <c r="L14" i="19" s="1"/>
  <c r="B35" i="6"/>
  <c r="E3" i="15"/>
  <c r="E9" i="15"/>
  <c r="E11" i="15"/>
  <c r="E15" i="15"/>
  <c r="E16" i="15"/>
  <c r="B36" i="6"/>
  <c r="E6" i="15"/>
  <c r="I16" i="7"/>
  <c r="K16" i="7" s="1"/>
  <c r="H15" i="7"/>
  <c r="J15" i="7" s="1"/>
  <c r="H14" i="7"/>
  <c r="J14" i="7" s="1"/>
  <c r="I13" i="7"/>
  <c r="K13" i="7" s="1"/>
  <c r="H12" i="7"/>
  <c r="J12" i="7" s="1"/>
  <c r="H11" i="7"/>
  <c r="J11" i="7" s="1"/>
  <c r="I10" i="7"/>
  <c r="K10" i="7" s="1"/>
  <c r="I9" i="7"/>
  <c r="K9" i="7" s="1"/>
  <c r="G16" i="11"/>
  <c r="H16" i="11" s="1"/>
  <c r="J16" i="11" s="1"/>
  <c r="G15" i="11"/>
  <c r="I15" i="11" s="1"/>
  <c r="K15" i="11" s="1"/>
  <c r="G14" i="11"/>
  <c r="H14" i="11" s="1"/>
  <c r="J14" i="11" s="1"/>
  <c r="G13" i="11"/>
  <c r="I13" i="11" s="1"/>
  <c r="K13" i="11" s="1"/>
  <c r="G12" i="11"/>
  <c r="I12" i="11" s="1"/>
  <c r="K12" i="11" s="1"/>
  <c r="G11" i="11"/>
  <c r="H11" i="11" s="1"/>
  <c r="J11" i="11" s="1"/>
  <c r="G10" i="11"/>
  <c r="I10" i="11" s="1"/>
  <c r="K10" i="11" s="1"/>
  <c r="G9" i="11"/>
  <c r="I9" i="11" s="1"/>
  <c r="K9" i="11" s="1"/>
  <c r="G16" i="6"/>
  <c r="I16" i="6" s="1"/>
  <c r="K16" i="6" s="1"/>
  <c r="G15" i="6"/>
  <c r="I15" i="6" s="1"/>
  <c r="K15" i="6" s="1"/>
  <c r="G14" i="6"/>
  <c r="I14" i="6" s="1"/>
  <c r="K14" i="6" s="1"/>
  <c r="G13" i="6"/>
  <c r="I13" i="6" s="1"/>
  <c r="K13" i="6" s="1"/>
  <c r="G12" i="6"/>
  <c r="I12" i="6" s="1"/>
  <c r="K12" i="6" s="1"/>
  <c r="G11" i="6"/>
  <c r="H11" i="6" s="1"/>
  <c r="J11" i="6" s="1"/>
  <c r="G10" i="6"/>
  <c r="H10" i="6" s="1"/>
  <c r="J10" i="6" s="1"/>
  <c r="G9" i="6"/>
  <c r="I9" i="6" s="1"/>
  <c r="K9" i="6" s="1"/>
  <c r="G16" i="5"/>
  <c r="G15" i="5"/>
  <c r="G14" i="5"/>
  <c r="G13" i="5"/>
  <c r="G12" i="5"/>
  <c r="G11" i="5"/>
  <c r="G10" i="5"/>
  <c r="G9" i="5"/>
  <c r="G16" i="2"/>
  <c r="I16" i="2" s="1"/>
  <c r="K16" i="2" s="1"/>
  <c r="G15" i="2"/>
  <c r="H15" i="2" s="1"/>
  <c r="J15" i="2" s="1"/>
  <c r="G14" i="2"/>
  <c r="H14" i="2" s="1"/>
  <c r="J14" i="2" s="1"/>
  <c r="G13" i="2"/>
  <c r="I13" i="2" s="1"/>
  <c r="K13" i="2" s="1"/>
  <c r="G12" i="2"/>
  <c r="H12" i="2" s="1"/>
  <c r="J12" i="2" s="1"/>
  <c r="I11" i="2"/>
  <c r="K11" i="2" s="1"/>
  <c r="G11" i="2"/>
  <c r="H11" i="2" s="1"/>
  <c r="J11" i="2" s="1"/>
  <c r="L11" i="2" s="1"/>
  <c r="G10" i="2"/>
  <c r="I10" i="2" s="1"/>
  <c r="K10" i="2" s="1"/>
  <c r="G9" i="2"/>
  <c r="H9" i="2" s="1"/>
  <c r="J9" i="2" s="1"/>
  <c r="G16" i="20"/>
  <c r="I16" i="20" s="1"/>
  <c r="K16" i="20" s="1"/>
  <c r="G15" i="20"/>
  <c r="I15" i="20" s="1"/>
  <c r="K15" i="20" s="1"/>
  <c r="G14" i="20"/>
  <c r="I14" i="20" s="1"/>
  <c r="K14" i="20" s="1"/>
  <c r="G13" i="20"/>
  <c r="I13" i="20" s="1"/>
  <c r="K13" i="20" s="1"/>
  <c r="G12" i="20"/>
  <c r="I12" i="20" s="1"/>
  <c r="K12" i="20" s="1"/>
  <c r="G11" i="20"/>
  <c r="H11" i="20" s="1"/>
  <c r="J11" i="20" s="1"/>
  <c r="G10" i="20"/>
  <c r="I10" i="20" s="1"/>
  <c r="K10" i="20" s="1"/>
  <c r="G9" i="20"/>
  <c r="I9" i="20" s="1"/>
  <c r="K9" i="20" s="1"/>
  <c r="G16" i="4"/>
  <c r="H16" i="4" s="1"/>
  <c r="J16" i="4" s="1"/>
  <c r="G15" i="4"/>
  <c r="I15" i="4" s="1"/>
  <c r="K15" i="4" s="1"/>
  <c r="G14" i="4"/>
  <c r="I14" i="4" s="1"/>
  <c r="K14" i="4" s="1"/>
  <c r="G13" i="4"/>
  <c r="I13" i="4" s="1"/>
  <c r="K13" i="4" s="1"/>
  <c r="G12" i="4"/>
  <c r="I12" i="4" s="1"/>
  <c r="K12" i="4" s="1"/>
  <c r="G11" i="4"/>
  <c r="H11" i="4" s="1"/>
  <c r="J11" i="4" s="1"/>
  <c r="G10" i="4"/>
  <c r="I10" i="4" s="1"/>
  <c r="K10" i="4" s="1"/>
  <c r="G9" i="4"/>
  <c r="H9" i="4" s="1"/>
  <c r="J9" i="4" s="1"/>
  <c r="G16" i="19"/>
  <c r="I16" i="19" s="1"/>
  <c r="K16" i="19" s="1"/>
  <c r="G15" i="19"/>
  <c r="I15" i="19" s="1"/>
  <c r="K15" i="19" s="1"/>
  <c r="G13" i="19"/>
  <c r="I13" i="19" s="1"/>
  <c r="K13" i="19" s="1"/>
  <c r="G12" i="19"/>
  <c r="I12" i="19" s="1"/>
  <c r="K12" i="19" s="1"/>
  <c r="G11" i="19"/>
  <c r="H11" i="19" s="1"/>
  <c r="J11" i="19" s="1"/>
  <c r="G10" i="19"/>
  <c r="H10" i="19" s="1"/>
  <c r="J10" i="19" s="1"/>
  <c r="G9" i="19"/>
  <c r="H9" i="19" s="1"/>
  <c r="J9" i="19" s="1"/>
  <c r="B23" i="22" l="1"/>
  <c r="B38" i="22" s="1"/>
  <c r="C23" i="22"/>
  <c r="B40" i="22" s="1"/>
  <c r="I16" i="5"/>
  <c r="K16" i="5" s="1"/>
  <c r="H16" i="5"/>
  <c r="J16" i="5" s="1"/>
  <c r="I9" i="5"/>
  <c r="K9" i="5" s="1"/>
  <c r="H9" i="5"/>
  <c r="J9" i="5" s="1"/>
  <c r="H10" i="5"/>
  <c r="J10" i="5" s="1"/>
  <c r="I10" i="5"/>
  <c r="K10" i="5" s="1"/>
  <c r="H14" i="5"/>
  <c r="J14" i="5" s="1"/>
  <c r="I14" i="5"/>
  <c r="K14" i="5" s="1"/>
  <c r="I11" i="5"/>
  <c r="K11" i="5" s="1"/>
  <c r="H11" i="5"/>
  <c r="J11" i="5" s="1"/>
  <c r="I15" i="5"/>
  <c r="K15" i="5" s="1"/>
  <c r="H15" i="5"/>
  <c r="J15" i="5" s="1"/>
  <c r="H12" i="5"/>
  <c r="J12" i="5" s="1"/>
  <c r="I12" i="5"/>
  <c r="K12" i="5" s="1"/>
  <c r="I13" i="5"/>
  <c r="K13" i="5" s="1"/>
  <c r="H13" i="5"/>
  <c r="J13" i="5" s="1"/>
  <c r="L13" i="5" s="1"/>
  <c r="I11" i="7"/>
  <c r="K11" i="7" s="1"/>
  <c r="L11" i="7" s="1"/>
  <c r="H16" i="7"/>
  <c r="J16" i="7" s="1"/>
  <c r="L16" i="7" s="1"/>
  <c r="I14" i="7"/>
  <c r="K14" i="7" s="1"/>
  <c r="L14" i="7" s="1"/>
  <c r="H9" i="7"/>
  <c r="J9" i="7" s="1"/>
  <c r="L9" i="7" s="1"/>
  <c r="I12" i="7"/>
  <c r="K12" i="7" s="1"/>
  <c r="L12" i="7" s="1"/>
  <c r="I15" i="7"/>
  <c r="K15" i="7" s="1"/>
  <c r="L15" i="7" s="1"/>
  <c r="H13" i="7"/>
  <c r="J13" i="7" s="1"/>
  <c r="L13" i="7" s="1"/>
  <c r="H10" i="7"/>
  <c r="J10" i="7" s="1"/>
  <c r="L10" i="7" s="1"/>
  <c r="I11" i="11"/>
  <c r="K11" i="11" s="1"/>
  <c r="L11" i="11" s="1"/>
  <c r="I16" i="11"/>
  <c r="K16" i="11" s="1"/>
  <c r="L16" i="11" s="1"/>
  <c r="I14" i="11"/>
  <c r="K14" i="11" s="1"/>
  <c r="L14" i="11" s="1"/>
  <c r="H12" i="11"/>
  <c r="J12" i="11" s="1"/>
  <c r="L12" i="11" s="1"/>
  <c r="H10" i="11"/>
  <c r="J10" i="11" s="1"/>
  <c r="L10" i="11" s="1"/>
  <c r="H15" i="11"/>
  <c r="J15" i="11" s="1"/>
  <c r="L15" i="11" s="1"/>
  <c r="H9" i="11"/>
  <c r="J9" i="11" s="1"/>
  <c r="L9" i="11" s="1"/>
  <c r="H13" i="11"/>
  <c r="J13" i="11" s="1"/>
  <c r="L13" i="11" s="1"/>
  <c r="H16" i="6"/>
  <c r="J16" i="6" s="1"/>
  <c r="L16" i="6" s="1"/>
  <c r="H12" i="6"/>
  <c r="J12" i="6" s="1"/>
  <c r="L12" i="6" s="1"/>
  <c r="I10" i="6"/>
  <c r="K10" i="6" s="1"/>
  <c r="L10" i="6" s="1"/>
  <c r="I11" i="6"/>
  <c r="K11" i="6" s="1"/>
  <c r="L11" i="6" s="1"/>
  <c r="H9" i="6"/>
  <c r="J9" i="6" s="1"/>
  <c r="L9" i="6" s="1"/>
  <c r="H14" i="6"/>
  <c r="J14" i="6" s="1"/>
  <c r="L14" i="6" s="1"/>
  <c r="H15" i="6"/>
  <c r="J15" i="6" s="1"/>
  <c r="L15" i="6" s="1"/>
  <c r="H13" i="6"/>
  <c r="J13" i="6" s="1"/>
  <c r="L13" i="6" s="1"/>
  <c r="H16" i="2"/>
  <c r="J16" i="2" s="1"/>
  <c r="L16" i="2" s="1"/>
  <c r="I9" i="2"/>
  <c r="K9" i="2" s="1"/>
  <c r="L9" i="2" s="1"/>
  <c r="H10" i="2"/>
  <c r="J10" i="2" s="1"/>
  <c r="L10" i="2" s="1"/>
  <c r="I15" i="2"/>
  <c r="K15" i="2" s="1"/>
  <c r="L15" i="2" s="1"/>
  <c r="I14" i="2"/>
  <c r="K14" i="2" s="1"/>
  <c r="L14" i="2" s="1"/>
  <c r="I12" i="2"/>
  <c r="K12" i="2" s="1"/>
  <c r="L12" i="2" s="1"/>
  <c r="H13" i="2"/>
  <c r="J13" i="2" s="1"/>
  <c r="L13" i="2" s="1"/>
  <c r="H16" i="20"/>
  <c r="J16" i="20" s="1"/>
  <c r="L16" i="20" s="1"/>
  <c r="I11" i="20"/>
  <c r="K11" i="20" s="1"/>
  <c r="L11" i="20" s="1"/>
  <c r="H14" i="20"/>
  <c r="J14" i="20" s="1"/>
  <c r="L14" i="20" s="1"/>
  <c r="H9" i="20"/>
  <c r="J9" i="20" s="1"/>
  <c r="L9" i="20" s="1"/>
  <c r="H15" i="20"/>
  <c r="J15" i="20" s="1"/>
  <c r="L15" i="20" s="1"/>
  <c r="H13" i="20"/>
  <c r="J13" i="20" s="1"/>
  <c r="L13" i="20" s="1"/>
  <c r="H12" i="20"/>
  <c r="J12" i="20" s="1"/>
  <c r="L12" i="20" s="1"/>
  <c r="H10" i="20"/>
  <c r="J10" i="20" s="1"/>
  <c r="L10" i="20" s="1"/>
  <c r="H13" i="4"/>
  <c r="J13" i="4" s="1"/>
  <c r="L13" i="4" s="1"/>
  <c r="I11" i="4"/>
  <c r="K11" i="4" s="1"/>
  <c r="L11" i="4" s="1"/>
  <c r="I16" i="4"/>
  <c r="K16" i="4" s="1"/>
  <c r="L16" i="4" s="1"/>
  <c r="H15" i="4"/>
  <c r="J15" i="4" s="1"/>
  <c r="L15" i="4" s="1"/>
  <c r="I9" i="4"/>
  <c r="K9" i="4" s="1"/>
  <c r="L9" i="4" s="1"/>
  <c r="H14" i="4"/>
  <c r="J14" i="4" s="1"/>
  <c r="L14" i="4" s="1"/>
  <c r="H10" i="4"/>
  <c r="J10" i="4" s="1"/>
  <c r="L10" i="4" s="1"/>
  <c r="H12" i="4"/>
  <c r="J12" i="4" s="1"/>
  <c r="L12" i="4" s="1"/>
  <c r="I11" i="19"/>
  <c r="K11" i="19" s="1"/>
  <c r="L11" i="19" s="1"/>
  <c r="I9" i="19"/>
  <c r="K9" i="19" s="1"/>
  <c r="L9" i="19" s="1"/>
  <c r="I10" i="19"/>
  <c r="K10" i="19" s="1"/>
  <c r="L10" i="19" s="1"/>
  <c r="H15" i="19"/>
  <c r="J15" i="19" s="1"/>
  <c r="L15" i="19" s="1"/>
  <c r="H12" i="19"/>
  <c r="J12" i="19" s="1"/>
  <c r="L12" i="19" s="1"/>
  <c r="H16" i="19"/>
  <c r="J16" i="19" s="1"/>
  <c r="L16" i="19" s="1"/>
  <c r="H13" i="19"/>
  <c r="J13" i="19" s="1"/>
  <c r="L13" i="19" s="1"/>
  <c r="H3" i="3"/>
  <c r="H4" i="3"/>
  <c r="H5" i="3"/>
  <c r="H6" i="3"/>
  <c r="H7" i="3"/>
  <c r="H8" i="3"/>
  <c r="H2" i="3"/>
  <c r="H4" i="2"/>
  <c r="H7" i="2"/>
  <c r="B35" i="20"/>
  <c r="B32" i="20"/>
  <c r="G8" i="20"/>
  <c r="I8" i="20" s="1"/>
  <c r="G7" i="20"/>
  <c r="H7" i="20" s="1"/>
  <c r="G6" i="20"/>
  <c r="H6" i="20" s="1"/>
  <c r="G5" i="20"/>
  <c r="H5" i="20" s="1"/>
  <c r="G4" i="20"/>
  <c r="I4" i="20" s="1"/>
  <c r="G3" i="20"/>
  <c r="H3" i="20" s="1"/>
  <c r="G2" i="20"/>
  <c r="I2" i="20" s="1"/>
  <c r="E64" i="15"/>
  <c r="E70" i="15"/>
  <c r="E72" i="15"/>
  <c r="E76" i="15"/>
  <c r="E77" i="15"/>
  <c r="G8" i="11"/>
  <c r="H8" i="11" s="1"/>
  <c r="G7" i="11"/>
  <c r="H7" i="11" s="1"/>
  <c r="G6" i="11"/>
  <c r="I6" i="11" s="1"/>
  <c r="G5" i="11"/>
  <c r="I5" i="11" s="1"/>
  <c r="G4" i="11"/>
  <c r="H4" i="11" s="1"/>
  <c r="G3" i="11"/>
  <c r="I3" i="11" s="1"/>
  <c r="G2" i="11"/>
  <c r="I2" i="11" s="1"/>
  <c r="G8" i="6"/>
  <c r="I8" i="6" s="1"/>
  <c r="G7" i="6"/>
  <c r="H7" i="6" s="1"/>
  <c r="G6" i="6"/>
  <c r="H6" i="6" s="1"/>
  <c r="G5" i="6"/>
  <c r="H5" i="6" s="1"/>
  <c r="G4" i="6"/>
  <c r="H4" i="6" s="1"/>
  <c r="G3" i="6"/>
  <c r="I3" i="6" s="1"/>
  <c r="G2" i="6"/>
  <c r="H2" i="6" s="1"/>
  <c r="G8" i="5"/>
  <c r="G7" i="5"/>
  <c r="G6" i="5"/>
  <c r="G5" i="5"/>
  <c r="G4" i="5"/>
  <c r="G3" i="5"/>
  <c r="G2" i="5"/>
  <c r="G8" i="2"/>
  <c r="H8" i="2" s="1"/>
  <c r="G7" i="2"/>
  <c r="I7" i="2" s="1"/>
  <c r="G6" i="2"/>
  <c r="I6" i="2" s="1"/>
  <c r="G5" i="2"/>
  <c r="H5" i="2" s="1"/>
  <c r="G4" i="2"/>
  <c r="I4" i="2" s="1"/>
  <c r="G3" i="2"/>
  <c r="I3" i="2" s="1"/>
  <c r="G2" i="2"/>
  <c r="I2" i="2" s="1"/>
  <c r="G8" i="3"/>
  <c r="I8" i="3" s="1"/>
  <c r="G7" i="3"/>
  <c r="I7" i="3" s="1"/>
  <c r="G6" i="3"/>
  <c r="I6" i="3" s="1"/>
  <c r="G5" i="3"/>
  <c r="G4" i="3"/>
  <c r="I4" i="3" s="1"/>
  <c r="G3" i="3"/>
  <c r="G2" i="3"/>
  <c r="I2" i="3" s="1"/>
  <c r="G8" i="4"/>
  <c r="I8" i="4" s="1"/>
  <c r="G7" i="4"/>
  <c r="I7" i="4" s="1"/>
  <c r="G6" i="4"/>
  <c r="H6" i="4" s="1"/>
  <c r="G5" i="4"/>
  <c r="I5" i="4" s="1"/>
  <c r="G4" i="4"/>
  <c r="H4" i="4" s="1"/>
  <c r="G3" i="4"/>
  <c r="H3" i="4" s="1"/>
  <c r="G2" i="4"/>
  <c r="I2" i="4" s="1"/>
  <c r="G3" i="19"/>
  <c r="I3" i="19" s="1"/>
  <c r="G4" i="19"/>
  <c r="I4" i="19" s="1"/>
  <c r="G5" i="19"/>
  <c r="H5" i="19" s="1"/>
  <c r="G6" i="19"/>
  <c r="H6" i="19" s="1"/>
  <c r="G7" i="19"/>
  <c r="I7" i="19" s="1"/>
  <c r="G8" i="19"/>
  <c r="H8" i="19" s="1"/>
  <c r="E67" i="15"/>
  <c r="B34" i="19"/>
  <c r="B31" i="19"/>
  <c r="G2" i="19"/>
  <c r="H2" i="19" s="1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4" i="18"/>
  <c r="B27" i="16"/>
  <c r="B86" i="15" s="1"/>
  <c r="B27" i="1"/>
  <c r="B34" i="11"/>
  <c r="B66" i="15" s="1"/>
  <c r="B31" i="7"/>
  <c r="E46" i="15" s="1"/>
  <c r="B33" i="5"/>
  <c r="B46" i="15" s="1"/>
  <c r="E25" i="15"/>
  <c r="B34" i="2"/>
  <c r="B27" i="3"/>
  <c r="A87" i="15"/>
  <c r="D67" i="15"/>
  <c r="A67" i="15"/>
  <c r="D47" i="15"/>
  <c r="A47" i="15"/>
  <c r="D26" i="15"/>
  <c r="A26" i="15"/>
  <c r="D6" i="15"/>
  <c r="A6" i="15"/>
  <c r="B28" i="1"/>
  <c r="B28" i="16"/>
  <c r="B87" i="15" s="1"/>
  <c r="B67" i="15"/>
  <c r="E47" i="15"/>
  <c r="B47" i="15"/>
  <c r="E26" i="15"/>
  <c r="B35" i="2"/>
  <c r="B28" i="3"/>
  <c r="B6" i="15"/>
  <c r="B4" i="15"/>
  <c r="B65" i="15"/>
  <c r="B26" i="1"/>
  <c r="B26" i="16"/>
  <c r="B85" i="15" s="1"/>
  <c r="E45" i="15"/>
  <c r="B45" i="15"/>
  <c r="B34" i="6"/>
  <c r="E24" i="15" s="1"/>
  <c r="B33" i="2"/>
  <c r="B26" i="3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D64" i="15"/>
  <c r="D65" i="15"/>
  <c r="D66" i="15"/>
  <c r="D68" i="15"/>
  <c r="D69" i="15"/>
  <c r="D70" i="15"/>
  <c r="D71" i="15"/>
  <c r="D72" i="15"/>
  <c r="D75" i="15"/>
  <c r="D76" i="15"/>
  <c r="D77" i="15"/>
  <c r="D79" i="15"/>
  <c r="D63" i="15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A24" i="15"/>
  <c r="A25" i="15"/>
  <c r="A27" i="15"/>
  <c r="A28" i="15"/>
  <c r="A29" i="15"/>
  <c r="A30" i="15"/>
  <c r="A31" i="15"/>
  <c r="A34" i="15"/>
  <c r="A35" i="15"/>
  <c r="A36" i="15"/>
  <c r="A38" i="15"/>
  <c r="A22" i="15"/>
  <c r="D3" i="15"/>
  <c r="D4" i="15"/>
  <c r="D5" i="15"/>
  <c r="D7" i="15"/>
  <c r="D8" i="15"/>
  <c r="D9" i="15"/>
  <c r="D10" i="15"/>
  <c r="D11" i="15"/>
  <c r="D14" i="15"/>
  <c r="D15" i="15"/>
  <c r="D16" i="15"/>
  <c r="D18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L12" i="5" l="1"/>
  <c r="L11" i="5"/>
  <c r="L10" i="5"/>
  <c r="D23" i="22"/>
  <c r="B44" i="22" s="1"/>
  <c r="B48" i="22" s="1"/>
  <c r="L15" i="5"/>
  <c r="L14" i="5"/>
  <c r="H2" i="5"/>
  <c r="I2" i="5"/>
  <c r="I3" i="5"/>
  <c r="H3" i="5"/>
  <c r="H4" i="5"/>
  <c r="I4" i="5"/>
  <c r="H5" i="5"/>
  <c r="I5" i="5"/>
  <c r="I8" i="5"/>
  <c r="H8" i="5"/>
  <c r="L16" i="5"/>
  <c r="I7" i="5"/>
  <c r="H7" i="5"/>
  <c r="L9" i="5"/>
  <c r="H6" i="5"/>
  <c r="I6" i="5"/>
  <c r="E65" i="15"/>
  <c r="E4" i="15"/>
  <c r="E63" i="15"/>
  <c r="E2" i="15"/>
  <c r="E66" i="15"/>
  <c r="E5" i="15"/>
  <c r="H8" i="6"/>
  <c r="H5" i="4"/>
  <c r="I2" i="6"/>
  <c r="H3" i="11"/>
  <c r="H3" i="2"/>
  <c r="I4" i="4"/>
  <c r="I3" i="4"/>
  <c r="H2" i="11"/>
  <c r="I4" i="11"/>
  <c r="I8" i="11"/>
  <c r="K8" i="11" s="1"/>
  <c r="I7" i="11"/>
  <c r="H6" i="11"/>
  <c r="H5" i="11"/>
  <c r="H3" i="6"/>
  <c r="I7" i="6"/>
  <c r="I5" i="6"/>
  <c r="I6" i="6"/>
  <c r="K6" i="6" s="1"/>
  <c r="I4" i="6"/>
  <c r="I8" i="2"/>
  <c r="I5" i="2"/>
  <c r="H6" i="2"/>
  <c r="H8" i="4"/>
  <c r="J8" i="4" s="1"/>
  <c r="H7" i="4"/>
  <c r="J7" i="4" s="1"/>
  <c r="I6" i="4"/>
  <c r="H2" i="4"/>
  <c r="H4" i="19"/>
  <c r="J4" i="19" s="1"/>
  <c r="H7" i="19"/>
  <c r="J7" i="19" s="1"/>
  <c r="H3" i="19"/>
  <c r="J3" i="19" s="1"/>
  <c r="I8" i="19"/>
  <c r="K8" i="19" s="1"/>
  <c r="J5" i="19"/>
  <c r="I2" i="19"/>
  <c r="K2" i="19" s="1"/>
  <c r="I6" i="19"/>
  <c r="K6" i="19" s="1"/>
  <c r="I5" i="19"/>
  <c r="K5" i="19" s="1"/>
  <c r="H2" i="20"/>
  <c r="J2" i="20" s="1"/>
  <c r="H8" i="20"/>
  <c r="J8" i="20" s="1"/>
  <c r="I7" i="20"/>
  <c r="K7" i="20" s="1"/>
  <c r="I6" i="20"/>
  <c r="K6" i="20" s="1"/>
  <c r="I5" i="20"/>
  <c r="K5" i="20" s="1"/>
  <c r="K8" i="20"/>
  <c r="H4" i="20"/>
  <c r="J4" i="20" s="1"/>
  <c r="I3" i="20"/>
  <c r="K3" i="20" s="1"/>
  <c r="K4" i="19"/>
  <c r="K3" i="19"/>
  <c r="H2" i="2"/>
  <c r="J6" i="20"/>
  <c r="K4" i="20"/>
  <c r="K2" i="20"/>
  <c r="J5" i="20"/>
  <c r="J3" i="20"/>
  <c r="J7" i="20"/>
  <c r="I3" i="3"/>
  <c r="J8" i="19"/>
  <c r="K7" i="19"/>
  <c r="I5" i="3"/>
  <c r="J6" i="19"/>
  <c r="J2" i="19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31" i="11"/>
  <c r="B63" i="15" s="1"/>
  <c r="B24" i="1"/>
  <c r="B28" i="7"/>
  <c r="E43" i="15" s="1"/>
  <c r="E22" i="15"/>
  <c r="B30" i="5"/>
  <c r="B43" i="15" s="1"/>
  <c r="B24" i="3"/>
  <c r="B31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I8" i="7"/>
  <c r="I7" i="7"/>
  <c r="I6" i="7"/>
  <c r="I5" i="7"/>
  <c r="I4" i="7"/>
  <c r="I3" i="7"/>
  <c r="G2" i="7"/>
  <c r="I2" i="7" s="1"/>
  <c r="K8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L5" i="20" l="1"/>
  <c r="B22" i="19"/>
  <c r="B37" i="19" s="1"/>
  <c r="C22" i="19"/>
  <c r="B39" i="19" s="1"/>
  <c r="L6" i="19"/>
  <c r="L7" i="20"/>
  <c r="L4" i="20"/>
  <c r="L8" i="20"/>
  <c r="L3" i="20"/>
  <c r="L6" i="20"/>
  <c r="L3" i="19"/>
  <c r="L4" i="19"/>
  <c r="C23" i="20"/>
  <c r="B40" i="20" s="1"/>
  <c r="L2" i="20"/>
  <c r="B23" i="20"/>
  <c r="B38" i="20" s="1"/>
  <c r="L8" i="19"/>
  <c r="L7" i="19"/>
  <c r="L2" i="19"/>
  <c r="L5" i="19"/>
  <c r="B36" i="18"/>
  <c r="B15" i="18"/>
  <c r="E89" i="15" s="1"/>
  <c r="C15" i="18"/>
  <c r="B32" i="18" s="1"/>
  <c r="E91" i="15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H2" i="7"/>
  <c r="J2" i="7" s="1"/>
  <c r="K2" i="7"/>
  <c r="K7" i="7"/>
  <c r="K8" i="7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J8" i="11"/>
  <c r="L8" i="11" s="1"/>
  <c r="J2" i="11"/>
  <c r="K2" i="11"/>
  <c r="J3" i="11"/>
  <c r="J4" i="11"/>
  <c r="J5" i="11"/>
  <c r="J6" i="1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E71" i="15" l="1"/>
  <c r="E10" i="15"/>
  <c r="E69" i="15"/>
  <c r="E8" i="15"/>
  <c r="D23" i="20"/>
  <c r="B44" i="20" s="1"/>
  <c r="C22" i="4"/>
  <c r="B39" i="4" s="1"/>
  <c r="B10" i="15" s="1"/>
  <c r="B22" i="4"/>
  <c r="B37" i="4" s="1"/>
  <c r="B8" i="15" s="1"/>
  <c r="D22" i="19"/>
  <c r="B43" i="19" s="1"/>
  <c r="E14" i="15" s="1"/>
  <c r="L8" i="4"/>
  <c r="B40" i="18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22" i="11"/>
  <c r="B39" i="11" s="1"/>
  <c r="B71" i="15" s="1"/>
  <c r="J8" i="7"/>
  <c r="L8" i="7" s="1"/>
  <c r="J7" i="7"/>
  <c r="L7" i="7" s="1"/>
  <c r="L6" i="7"/>
  <c r="L3" i="7"/>
  <c r="C23" i="7"/>
  <c r="B36" i="7" s="1"/>
  <c r="E51" i="15" s="1"/>
  <c r="L5" i="7"/>
  <c r="L7" i="5"/>
  <c r="L3" i="5"/>
  <c r="L3" i="6"/>
  <c r="J8" i="2"/>
  <c r="L8" i="2" s="1"/>
  <c r="J7" i="2"/>
  <c r="L7" i="2" s="1"/>
  <c r="J6" i="2"/>
  <c r="L6" i="2" s="1"/>
  <c r="C22" i="2"/>
  <c r="B39" i="2" s="1"/>
  <c r="L5" i="2"/>
  <c r="L5" i="3"/>
  <c r="L4" i="3"/>
  <c r="L5" i="4"/>
  <c r="L3" i="4"/>
  <c r="L4" i="4"/>
  <c r="L7" i="11"/>
  <c r="L4" i="5"/>
  <c r="C21" i="5"/>
  <c r="B38" i="5" s="1"/>
  <c r="B51" i="15" s="1"/>
  <c r="L5" i="5"/>
  <c r="L6" i="4"/>
  <c r="L7" i="6"/>
  <c r="C23" i="6"/>
  <c r="B40" i="6" s="1"/>
  <c r="E30" i="15" s="1"/>
  <c r="L4" i="11"/>
  <c r="L4" i="7"/>
  <c r="L2" i="11"/>
  <c r="B22" i="11"/>
  <c r="B37" i="11" s="1"/>
  <c r="L2" i="7"/>
  <c r="L4" i="6"/>
  <c r="L2" i="6"/>
  <c r="B23" i="6"/>
  <c r="B38" i="6" s="1"/>
  <c r="E28" i="15" s="1"/>
  <c r="L4" i="2"/>
  <c r="L2" i="2"/>
  <c r="L2" i="5"/>
  <c r="B21" i="5"/>
  <c r="B36" i="5" s="1"/>
  <c r="B15" i="3"/>
  <c r="B30" i="3" s="1"/>
  <c r="L2" i="3"/>
  <c r="C15" i="3"/>
  <c r="B32" i="3" s="1"/>
  <c r="L4" i="13"/>
  <c r="L2" i="13"/>
  <c r="L2" i="4"/>
  <c r="B49" i="15" l="1"/>
  <c r="B42" i="5"/>
  <c r="B48" i="20"/>
  <c r="B69" i="15"/>
  <c r="B43" i="11"/>
  <c r="B47" i="11" s="1"/>
  <c r="D22" i="4"/>
  <c r="B47" i="19"/>
  <c r="E75" i="15"/>
  <c r="B36" i="1"/>
  <c r="B40" i="1" s="1"/>
  <c r="B36" i="16"/>
  <c r="B40" i="16" s="1"/>
  <c r="B99" i="15" s="1"/>
  <c r="B22" i="2"/>
  <c r="B37" i="2" s="1"/>
  <c r="D22" i="11"/>
  <c r="B23" i="7"/>
  <c r="B34" i="7" s="1"/>
  <c r="E49" i="15" s="1"/>
  <c r="D23" i="7"/>
  <c r="D21" i="5"/>
  <c r="D15" i="3"/>
  <c r="D23" i="6"/>
  <c r="D22" i="2"/>
  <c r="E79" i="15" l="1"/>
  <c r="E18" i="15"/>
  <c r="B42" i="1"/>
  <c r="B95" i="15"/>
  <c r="B79" i="15"/>
  <c r="B40" i="7"/>
  <c r="B45" i="7" s="1"/>
  <c r="E59" i="15" s="1"/>
  <c r="B46" i="5"/>
  <c r="B59" i="15" s="1"/>
  <c r="B44" i="6"/>
  <c r="B48" i="6" s="1"/>
  <c r="E38" i="15" s="1"/>
  <c r="B43" i="2"/>
  <c r="B47" i="2" s="1"/>
  <c r="B36" i="3"/>
  <c r="B43" i="4"/>
  <c r="B47" i="4" s="1"/>
  <c r="B18" i="15" s="1"/>
  <c r="B75" i="15" l="1"/>
  <c r="E34" i="15"/>
  <c r="E55" i="15"/>
  <c r="B55" i="15"/>
  <c r="B40" i="3"/>
  <c r="B14" i="15"/>
  <c r="K2" i="22"/>
  <c r="J2" i="22"/>
  <c r="L2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F499169C-01E6-4455-8E37-3880E8BB0DA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<sst xmlns="http://schemas.openxmlformats.org/spreadsheetml/2006/main" count="2137" uniqueCount="223">
  <si>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</si>
  <si>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</si>
  <si>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</si>
  <si>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</si>
  <si>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</si>
  <si>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</si>
  <si>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</si>
  <si>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</si>
  <si>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</si>
  <si>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</si>
  <si>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</si>
  <si>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</si>
  <si>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</si>
  <si>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</si>
  <si>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</si>
  <si>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</si>
  <si>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</si>
  <si>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</si>
  <si>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</si>
  <si>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</si>
  <si>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</si>
  <si>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</si>
  <si>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</si>
  <si>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</si>
  <si>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</si>
  <si>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</si>
  <si>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</si>
  <si>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</si>
  <si>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</si>
  <si>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</si>
  <si>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</si>
  <si>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</si>
  <si>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</si>
  <si>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</si>
  <si>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</si>
  <si>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</si>
  <si>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</si>
  <si>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</si>
  <si>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</si>
  <si>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</si>
  <si>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</si>
  <si>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</si>
  <si>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</si>
  <si>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</si>
  <si>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</si>
  <si>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</si>
  <si>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</si>
  <si>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</si>
  <si>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</si>
  <si>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</si>
  <si>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</si>
  <si>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</si>
  <si>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</si>
  <si>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</si>
  <si>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</si>
  <si>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</si>
  <si>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</si>
  <si>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</si>
  <si>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</si>
  <si>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</si>
  <si>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</si>
  <si>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</si>
  <si>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</si>
  <si>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</si>
  <si>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</si>
  <si>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</si>
  <si>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</si>
  <si>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</si>
  <si>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</si>
  <si>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</si>
  <si>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</si>
  <si>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</si>
  <si>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</si>
  <si>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</si>
  <si>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</si>
  <si>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</si>
  <si>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</si>
  <si>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</si>
  <si>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</si>
  <si>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</si>
  <si>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</si>
  <si>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</si>
  <si>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cherry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</si>
  <si>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</si>
  <si>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</si>
  <si>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</si>
  <si>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</si>
  <si>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</si>
  <si>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</si>
  <si>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</si>
  <si>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</si>
  <si>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</si>
  <si>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</si>
  <si>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</si>
  <si>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Kent</t>
  </si>
  <si>
    <t>kent</t>
  </si>
  <si>
    <t>Cook</t>
  </si>
  <si>
    <t>10:00</t>
  </si>
  <si>
    <t>08:00</t>
  </si>
  <si>
    <t>21:35</t>
  </si>
  <si>
    <t>2026-04-21</t>
  </si>
  <si>
    <t>2026-04-22</t>
  </si>
  <si>
    <t>2026-04-23</t>
  </si>
  <si>
    <t>2026-04-24</t>
  </si>
  <si>
    <t>2026-04-25</t>
  </si>
  <si>
    <t>2026-04-26</t>
  </si>
  <si>
    <t>Pepito</t>
  </si>
  <si>
    <t>Micky</t>
  </si>
  <si>
    <t>Kim</t>
  </si>
  <si>
    <t>micky harabi</t>
  </si>
  <si>
    <t>pepito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</si>
  <si>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</si>
  <si>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</si>
  <si>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</si>
  <si>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</si>
  <si>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</si>
  <si>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</si>
  <si>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</si>
  <si>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09:28</t>
  </si>
  <si>
    <t>sheen valles</t>
  </si>
  <si>
    <t>21:22</t>
  </si>
  <si>
    <t>Sheen Valles</t>
  </si>
  <si>
    <t>8:00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</si>
  <si>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</si>
  <si>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</si>
  <si>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</si>
  <si>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</si>
  <si>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</si>
  <si>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</si>
  <si>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</si>
  <si>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08:59</t>
  </si>
  <si>
    <t>2026-05-12</t>
  </si>
  <si>
    <t>2026-05-13</t>
  </si>
  <si>
    <t>2026-05-14</t>
  </si>
  <si>
    <t>2026-05-15</t>
  </si>
  <si>
    <t>08:58</t>
  </si>
  <si>
    <t>21:32</t>
  </si>
  <si>
    <t>08:50</t>
  </si>
  <si>
    <t>09:06</t>
  </si>
  <si>
    <t>08:45</t>
  </si>
  <si>
    <t>21:15</t>
  </si>
  <si>
    <t>09:07</t>
  </si>
  <si>
    <t>2026-05-04</t>
  </si>
  <si>
    <t>niel</t>
  </si>
  <si>
    <t>aldrin</t>
  </si>
  <si>
    <t>9:00</t>
  </si>
  <si>
    <t>14:00</t>
  </si>
  <si>
    <t>2026-05-16</t>
  </si>
  <si>
    <t>08:48</t>
  </si>
  <si>
    <t>2026-05-17</t>
  </si>
  <si>
    <t>2026-05-18</t>
  </si>
  <si>
    <t>2026-05-19</t>
  </si>
  <si>
    <t>2026-05-20</t>
  </si>
  <si>
    <t>2026-05-21</t>
  </si>
  <si>
    <t>21:38</t>
  </si>
  <si>
    <t>2026-05-22</t>
  </si>
  <si>
    <t>2026-05-23</t>
  </si>
  <si>
    <t>2026-05-24</t>
  </si>
  <si>
    <t>2026-05-25</t>
  </si>
  <si>
    <t>08:53</t>
  </si>
  <si>
    <t>2026-05-26</t>
  </si>
  <si>
    <t>2026-05-27</t>
  </si>
  <si>
    <t>2026-05-28</t>
  </si>
  <si>
    <t>2026-05-29</t>
  </si>
  <si>
    <t>2026-05-30</t>
  </si>
  <si>
    <t>2026-05-31</t>
  </si>
  <si>
    <t>21:10</t>
  </si>
  <si>
    <t>21:36</t>
  </si>
  <si>
    <t>08:52</t>
  </si>
  <si>
    <t>08:41</t>
  </si>
  <si>
    <t>08:55</t>
  </si>
  <si>
    <t>renelyn</t>
  </si>
  <si>
    <t>22:14</t>
  </si>
  <si>
    <t>21:04</t>
  </si>
  <si>
    <t>21:25</t>
  </si>
  <si>
    <t>09:10</t>
  </si>
  <si>
    <t>Niel</t>
  </si>
  <si>
    <t>15:00</t>
  </si>
  <si>
    <t>20:30</t>
  </si>
  <si>
    <t>2026-06-01</t>
  </si>
  <si>
    <t>08:54</t>
  </si>
  <si>
    <t>21:48</t>
  </si>
  <si>
    <t>2026-06-02</t>
  </si>
  <si>
    <t>21:09</t>
  </si>
  <si>
    <t>2026-06-03</t>
  </si>
  <si>
    <t>21:34</t>
  </si>
  <si>
    <t>2026-06-04</t>
  </si>
  <si>
    <t>2026-06-05</t>
  </si>
  <si>
    <t>2026-06-06</t>
  </si>
  <si>
    <t>2026-06-07</t>
  </si>
  <si>
    <t>2026-06-08</t>
  </si>
  <si>
    <t>22:18</t>
  </si>
  <si>
    <t>2026-06-09</t>
  </si>
  <si>
    <t>2026-06-10</t>
  </si>
  <si>
    <t>2026-06-11</t>
  </si>
  <si>
    <t>2026-06-12</t>
  </si>
  <si>
    <t>2026-06-13</t>
  </si>
  <si>
    <t>08:10</t>
  </si>
  <si>
    <t>21:40</t>
  </si>
  <si>
    <t>2026-06-14</t>
  </si>
  <si>
    <t>2026-06-15</t>
  </si>
  <si>
    <t>21:06</t>
  </si>
  <si>
    <t>21:21</t>
  </si>
  <si>
    <t>08:26</t>
  </si>
  <si>
    <t>21:12</t>
  </si>
  <si>
    <t>22:16</t>
  </si>
  <si>
    <t>21:33</t>
  </si>
  <si>
    <t>20:55</t>
  </si>
  <si>
    <t>21:24</t>
  </si>
  <si>
    <t>20:52</t>
  </si>
  <si>
    <t>21:01</t>
  </si>
  <si>
    <t>21:23</t>
  </si>
  <si>
    <t>Renelyn</t>
  </si>
  <si>
    <t>11:30</t>
  </si>
  <si>
    <t>11:15</t>
  </si>
  <si>
    <t>Jun-1 to Jun-15, 2026</t>
  </si>
  <si>
    <t>May-31 to Jun-15, 2026</t>
  </si>
  <si>
    <t>18:30</t>
  </si>
  <si>
    <t>16:30</t>
  </si>
  <si>
    <t>May 26 Allowance</t>
  </si>
  <si>
    <t>May 31 Allowance</t>
  </si>
  <si>
    <t>Aug 8 Personal Use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</si>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</sst>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"/>
    <numFmt numFmtId="165" formatCode="&quot;₱&quot;#,##0.00"/>
    <numFmt numFmtId="166" formatCode="mmm\-dd\-yy"/>
    <numFmt numFmtId="167" formatCode="[$-3409]mmmm\ dd\,\ yyyy;@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0" fillId="4" borderId="0" xfId="0" applyNumberFormat="1" applyFill="1"/>
    <xf numFmtId="167" fontId="0" fillId="0" borderId="1" xfId="0" applyNumberFormat="1" applyBorder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tabSelected="1" view="pageBreakPreview" zoomScale="130" zoomScaleNormal="100" zoomScaleSheetLayoutView="130" workbookViewId="0">
      <selection activeCell="C19" sqref="C19"/>
    </sheetView>
  </sheetViews>
  <sheetFormatPr defaultRowHeight="14.4"/>
  <cols>
    <col min="1" max="1" width="15.109375" bestFit="1" customWidth="1"/>
    <col min="2" max="2" width="21.109375" customWidth="1"/>
    <col min="4" max="4" width="15.109375" bestFit="1" customWidth="1"/>
    <col min="5" max="5" width="24.109375" bestFit="1" customWidth="1"/>
  </cols>
  <sheetData>
    <row r="1" spans="1:5" ht="17.399999999999999">
      <c r="A1" s="34" t="s">
        <v>39</v>
      </c>
      <c r="B1" s="34"/>
      <c r="D1" s="34" t="s">
        <v>39</v>
      </c>
      <c r="E1" s="34"/>
    </row>
    <row r="2" spans="1:5">
      <c r="A2" s="18" t="str">
        <f>Kent!A31</f>
        <v>Name:</v>
      </c>
      <c r="B2" s="18" t="str">
        <f>Kent!B31</f>
        <v>Kent</v>
      </c>
      <c r="C2" s="7"/>
      <c r="D2" s="18" t="str">
        <f>'Jay Anne'!A24</f>
        <v>Name:</v>
      </c>
      <c r="E2" s="18" t="str">
        <f>Micky!B31</f>
        <v>Micky</v>
      </c>
    </row>
    <row r="3" spans="1:5">
      <c r="A3" s="18" t="str">
        <f>Kent!A32</f>
        <v>Job Title:</v>
      </c>
      <c r="B3" s="18" t="str">
        <f>Kent!B32</f>
        <v>Cook</v>
      </c>
      <c r="C3" s="7"/>
      <c r="D3" s="18" t="str">
        <f>'Jay Anne'!A25</f>
        <v>Job Title:</v>
      </c>
      <c r="E3" s="18" t="str">
        <f>Micky!B32</f>
        <v>Staff</v>
      </c>
    </row>
    <row r="4" spans="1:5">
      <c r="A4" s="18" t="str">
        <f>Kent!A33</f>
        <v>Payment Date:</v>
      </c>
      <c r="B4" s="19">
        <f>Kent!B33</f>
        <v>46193</v>
      </c>
      <c r="C4" s="7"/>
      <c r="D4" s="18" t="str">
        <f>'Jay Anne'!A26</f>
        <v>Payment Date:</v>
      </c>
      <c r="E4" s="33">
        <f>Micky!B33</f>
        <v>46193</v>
      </c>
    </row>
    <row r="5" spans="1:5">
      <c r="A5" s="18" t="str">
        <f>Kent!A34</f>
        <v>Cut Off Period:</v>
      </c>
      <c r="B5" s="18" t="str">
        <f>Kent!B34</f>
        <v>Jun-1 to Jun-15, 2026</v>
      </c>
      <c r="C5" s="7"/>
      <c r="D5" s="18" t="str">
        <f>'Jay Anne'!A27</f>
        <v>Cut Off Period:</v>
      </c>
      <c r="E5" s="18" t="str">
        <f>Micky!B34</f>
        <v>Jun-1 to Jun-15, 2026</v>
      </c>
    </row>
    <row r="6" spans="1:5">
      <c r="A6" s="18" t="str">
        <f>Kent!A35</f>
        <v>Days Worked</v>
      </c>
      <c r="B6" s="18">
        <f>Kent!B35</f>
        <v>5</v>
      </c>
      <c r="C6" s="7"/>
      <c r="D6" s="18" t="str">
        <f>'Jay Anne'!A28</f>
        <v>Days Worked</v>
      </c>
      <c r="E6" s="18">
        <f>Micky!B35</f>
        <v>9</v>
      </c>
    </row>
    <row r="7" spans="1:5">
      <c r="A7" s="20" t="str">
        <f>Kent!A36</f>
        <v>Adjustments</v>
      </c>
      <c r="B7" s="18"/>
      <c r="C7" s="7"/>
      <c r="D7" s="20" t="str">
        <f>'Jay Anne'!A29</f>
        <v>Adjustments</v>
      </c>
      <c r="E7" s="18"/>
    </row>
    <row r="8" spans="1:5">
      <c r="A8" s="18" t="str">
        <f>Kent!A37</f>
        <v>Basic Pay</v>
      </c>
      <c r="B8" s="14">
        <f>Kent!B37</f>
        <v>1750</v>
      </c>
      <c r="C8" s="7"/>
      <c r="D8" s="18" t="str">
        <f>'Jay Anne'!A30</f>
        <v>Basic Pay</v>
      </c>
      <c r="E8" s="14">
        <f>Micky!B37</f>
        <v>2700</v>
      </c>
    </row>
    <row r="9" spans="1:5">
      <c r="A9" s="18" t="str">
        <f>Kent!A38</f>
        <v>Bonus/Incentives</v>
      </c>
      <c r="B9" s="14">
        <f>Kent!B38</f>
        <v>0</v>
      </c>
      <c r="C9" s="7"/>
      <c r="D9" s="18" t="str">
        <f>'Jay Anne'!A31</f>
        <v>Bonus/Incentives</v>
      </c>
      <c r="E9" s="14">
        <f>Micky!B38</f>
        <v>0</v>
      </c>
    </row>
    <row r="10" spans="1:5">
      <c r="A10" s="18" t="str">
        <f>Kent!A39</f>
        <v>Overtime Pay</v>
      </c>
      <c r="B10" s="14">
        <f>Kent!B39</f>
        <v>787.5</v>
      </c>
      <c r="C10" s="7"/>
      <c r="D10" s="18" t="str">
        <f>'Jay Anne'!A32</f>
        <v>Overtime Pay</v>
      </c>
      <c r="E10" s="14">
        <f>Micky!B39</f>
        <v>1237.5</v>
      </c>
    </row>
    <row r="11" spans="1:5">
      <c r="A11" s="18" t="str">
        <f>Kent!A40</f>
        <v>Other Income</v>
      </c>
      <c r="B11" s="14">
        <f>Kent!B40</f>
        <v>0</v>
      </c>
      <c r="C11" s="7"/>
      <c r="D11" s="18" t="str">
        <f>'Jay Anne'!A33</f>
        <v>Other Income</v>
      </c>
      <c r="E11" s="14">
        <f>Micky!B40</f>
        <v>0</v>
      </c>
    </row>
    <row r="12" spans="1:5">
      <c r="A12" s="18"/>
      <c r="B12" s="14"/>
      <c r="C12" s="7"/>
      <c r="D12" s="18"/>
      <c r="E12" s="14"/>
    </row>
    <row r="13" spans="1:5">
      <c r="A13" s="18"/>
      <c r="B13" s="14"/>
      <c r="C13" s="7"/>
      <c r="D13" s="18"/>
      <c r="E13" s="14"/>
    </row>
    <row r="14" spans="1:5">
      <c r="A14" s="21" t="str">
        <f>Kent!A43</f>
        <v>Gross Pay</v>
      </c>
      <c r="B14" s="14">
        <f>Kent!B43</f>
        <v>2537.5</v>
      </c>
      <c r="C14" s="7"/>
      <c r="D14" s="21" t="str">
        <f>'Jay Anne'!A36</f>
        <v>Gross Pay</v>
      </c>
      <c r="E14" s="14">
        <f>Micky!B43</f>
        <v>3937.5</v>
      </c>
    </row>
    <row r="15" spans="1:5">
      <c r="A15" s="18" t="str">
        <f>Kent!A44</f>
        <v>Deductions</v>
      </c>
      <c r="B15" s="14">
        <f>Kent!B44</f>
        <v>-2108</v>
      </c>
      <c r="C15" s="7"/>
      <c r="D15" s="18" t="str">
        <f>'Jay Anne'!A37</f>
        <v>Deductions</v>
      </c>
      <c r="E15" s="14">
        <f>Micky!B44</f>
        <v>0</v>
      </c>
    </row>
    <row r="16" spans="1:5">
      <c r="A16" s="18" t="str">
        <f>Kent!A45</f>
        <v>WH Tax</v>
      </c>
      <c r="B16" s="14">
        <f>Kent!B45</f>
        <v>0</v>
      </c>
      <c r="C16" s="7"/>
      <c r="D16" s="18" t="str">
        <f>'Jay Anne'!A38</f>
        <v>WH Tax</v>
      </c>
      <c r="E16" s="14">
        <f>Micky!B45</f>
        <v>0</v>
      </c>
    </row>
    <row r="17" spans="1:5">
      <c r="A17" s="18"/>
      <c r="B17" s="14"/>
      <c r="C17" s="7"/>
      <c r="D17" s="18"/>
      <c r="E17" s="14"/>
    </row>
    <row r="18" spans="1:5">
      <c r="A18" s="20" t="str">
        <f>Kent!A47</f>
        <v>Net Pay</v>
      </c>
      <c r="B18" s="14">
        <f>Kent!B47</f>
        <v>429.5</v>
      </c>
      <c r="C18" s="7"/>
      <c r="D18" s="20" t="str">
        <f>'Jay Anne'!A40</f>
        <v>Net Pay</v>
      </c>
      <c r="E18" s="14">
        <f>Micky!B47</f>
        <v>3937.5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4" t="s">
        <v>39</v>
      </c>
      <c r="B21" s="34"/>
      <c r="D21" s="34" t="s">
        <v>39</v>
      </c>
      <c r="E21" s="34"/>
    </row>
    <row r="22" spans="1:5">
      <c r="A22" s="18" t="str">
        <f>Kris!A31</f>
        <v>Name:</v>
      </c>
      <c r="B22" s="18" t="str">
        <f>Renelyn!B32</f>
        <v>Renelyn</v>
      </c>
      <c r="C22" s="7"/>
      <c r="D22" s="18" t="str">
        <f>Pepito!A32</f>
        <v>Name:</v>
      </c>
      <c r="E22" s="18" t="str">
        <f>Pepito!B32</f>
        <v>Pepito</v>
      </c>
    </row>
    <row r="23" spans="1:5">
      <c r="A23" s="18" t="str">
        <f>Kris!A32</f>
        <v>Job Title:</v>
      </c>
      <c r="B23" s="18" t="str">
        <f>Renelyn!B33</f>
        <v>Staff</v>
      </c>
      <c r="C23" s="7"/>
      <c r="D23" s="18" t="str">
        <f>Pepito!A33</f>
        <v>Job Title:</v>
      </c>
      <c r="E23" s="18" t="str">
        <f>Pepito!B33</f>
        <v>Staff</v>
      </c>
    </row>
    <row r="24" spans="1:5">
      <c r="A24" s="18" t="str">
        <f>Kris!A33</f>
        <v>Payment Date:</v>
      </c>
      <c r="B24" s="18">
        <f>Renelyn!B34</f>
        <v>46193</v>
      </c>
      <c r="C24" s="7"/>
      <c r="D24" s="18" t="str">
        <f>Pepito!A34</f>
        <v>Payment Date:</v>
      </c>
      <c r="E24" s="19">
        <f>Pepito!B34</f>
        <v>46150</v>
      </c>
    </row>
    <row r="25" spans="1:5">
      <c r="A25" s="18" t="str">
        <f>Kris!A34</f>
        <v>Cut Off Period:</v>
      </c>
      <c r="B25" s="18" t="str">
        <f>Renelyn!B35</f>
        <v>May-31 to Jun-15, 2026</v>
      </c>
      <c r="C25" s="7"/>
      <c r="D25" s="18" t="str">
        <f>Pepito!A35</f>
        <v>Cut Off Period:</v>
      </c>
      <c r="E25" s="18" t="str">
        <f>Pepito!B35</f>
        <v>Jun-1 to Jun-15, 2026</v>
      </c>
    </row>
    <row r="26" spans="1:5">
      <c r="A26" s="18" t="str">
        <f>Kris!A35</f>
        <v>Days Worked</v>
      </c>
      <c r="B26" s="18">
        <f>Renelyn!B36</f>
        <v>9</v>
      </c>
      <c r="C26" s="7"/>
      <c r="D26" s="18" t="str">
        <f>Pepito!A36</f>
        <v>Days Worked</v>
      </c>
      <c r="E26" s="18">
        <f>Pepito!B36</f>
        <v>9</v>
      </c>
    </row>
    <row r="27" spans="1:5">
      <c r="A27" s="20" t="str">
        <f>Kris!A36</f>
        <v>Adjustments</v>
      </c>
      <c r="B27" s="18"/>
      <c r="C27" s="7"/>
      <c r="D27" s="18" t="str">
        <f>Pepito!A37</f>
        <v>Adjustments</v>
      </c>
      <c r="E27" s="18"/>
    </row>
    <row r="28" spans="1:5">
      <c r="A28" s="18" t="str">
        <f>Kris!A37</f>
        <v>Basic Pay</v>
      </c>
      <c r="B28" s="14">
        <f>Renelyn!B38</f>
        <v>1800</v>
      </c>
      <c r="C28" s="7"/>
      <c r="D28" s="18" t="str">
        <f>Pepito!A38</f>
        <v>Basic Pay</v>
      </c>
      <c r="E28" s="14">
        <f>Pepito!B38</f>
        <v>2865.625</v>
      </c>
    </row>
    <row r="29" spans="1:5">
      <c r="A29" s="18" t="str">
        <f>Kris!A38</f>
        <v>Bonus/Incentives</v>
      </c>
      <c r="B29" s="14">
        <f>Renelyn!B39</f>
        <v>0</v>
      </c>
      <c r="C29" s="7"/>
      <c r="D29" s="18" t="str">
        <f>Pepito!A39</f>
        <v>Bonus/Incentives</v>
      </c>
      <c r="E29" s="14">
        <f>Pepito!B39</f>
        <v>0</v>
      </c>
    </row>
    <row r="30" spans="1:5">
      <c r="A30" s="18" t="str">
        <f>Kris!A39</f>
        <v>Overtime Pay</v>
      </c>
      <c r="B30" s="14">
        <f>Renelyn!B40</f>
        <v>825</v>
      </c>
      <c r="C30" s="7"/>
      <c r="D30" s="18" t="str">
        <f>Pepito!A40</f>
        <v>Overtime Pay</v>
      </c>
      <c r="E30" s="14">
        <f>Pepito!B40</f>
        <v>1102.5</v>
      </c>
    </row>
    <row r="31" spans="1:5">
      <c r="A31" s="18" t="str">
        <f>Kris!A40</f>
        <v>Other Income</v>
      </c>
      <c r="B31" s="14">
        <f>Renelyn!B41</f>
        <v>0</v>
      </c>
      <c r="C31" s="7"/>
      <c r="D31" s="18" t="str">
        <f>Pepito!A41</f>
        <v>Other Income</v>
      </c>
      <c r="E31" s="14">
        <f>Pepito!B41</f>
        <v>0</v>
      </c>
    </row>
    <row r="32" spans="1:5">
      <c r="A32" s="18"/>
      <c r="B32" s="14"/>
      <c r="C32" s="7"/>
      <c r="D32" s="18"/>
      <c r="E32" s="14"/>
    </row>
    <row r="33" spans="1:5">
      <c r="A33" s="18"/>
      <c r="B33" s="14"/>
      <c r="C33" s="7"/>
      <c r="D33" s="18"/>
      <c r="E33" s="14"/>
    </row>
    <row r="34" spans="1:5">
      <c r="A34" s="18" t="str">
        <f>Kris!A43</f>
        <v>Gross Pay</v>
      </c>
      <c r="B34" s="14">
        <f>Renelyn!B44</f>
        <v>2625</v>
      </c>
      <c r="C34" s="7"/>
      <c r="D34" s="21" t="str">
        <f>Pepito!A44</f>
        <v>Gross Pay</v>
      </c>
      <c r="E34" s="14">
        <f>Pepito!B44</f>
        <v>3968.125</v>
      </c>
    </row>
    <row r="35" spans="1:5">
      <c r="A35" s="18" t="str">
        <f>Kris!A44</f>
        <v>Deductions</v>
      </c>
      <c r="B35" s="14">
        <f>Renelyn!B45</f>
        <v>0</v>
      </c>
      <c r="C35" s="7"/>
      <c r="D35" s="18" t="str">
        <f>Pepito!A45</f>
        <v>Deductions</v>
      </c>
      <c r="E35" s="14">
        <f>Pepito!B45</f>
        <v>0</v>
      </c>
    </row>
    <row r="36" spans="1:5">
      <c r="A36" s="18" t="str">
        <f>Kris!A45</f>
        <v>WH Tax</v>
      </c>
      <c r="B36" s="14">
        <f>Renelyn!B46</f>
        <v>0</v>
      </c>
      <c r="C36" s="7"/>
      <c r="D36" s="18" t="str">
        <f>Pepito!A46</f>
        <v>WH Tax</v>
      </c>
      <c r="E36" s="14">
        <f>Pepito!B46</f>
        <v>0</v>
      </c>
    </row>
    <row r="37" spans="1:5">
      <c r="A37" s="18"/>
      <c r="B37" s="14"/>
      <c r="C37" s="7"/>
      <c r="D37" s="18"/>
      <c r="E37" s="14"/>
    </row>
    <row r="38" spans="1:5">
      <c r="A38" s="20" t="str">
        <f>Kris!A47</f>
        <v>Net Pay</v>
      </c>
      <c r="B38" s="14">
        <f>Renelyn!B48</f>
        <v>2625</v>
      </c>
      <c r="C38" s="7"/>
      <c r="D38" s="20" t="str">
        <f>Pepito!A48</f>
        <v>Net Pay</v>
      </c>
      <c r="E38" s="14">
        <f>Pepito!B48</f>
        <v>3968.125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4" t="s">
        <v>39</v>
      </c>
      <c r="B42" s="34"/>
      <c r="D42" s="34" t="s">
        <v>39</v>
      </c>
      <c r="E42" s="34"/>
    </row>
    <row r="43" spans="1:5">
      <c r="A43" s="18" t="str">
        <f>Cherry!A30</f>
        <v>Name:</v>
      </c>
      <c r="B43" s="18" t="str">
        <f>Cherry!B30</f>
        <v>Cherry</v>
      </c>
      <c r="C43" s="7"/>
      <c r="D43" s="18" t="str">
        <f>Kim!A28</f>
        <v>Name:</v>
      </c>
      <c r="E43" s="18" t="str">
        <f>Kim!B28</f>
        <v>Kim</v>
      </c>
    </row>
    <row r="44" spans="1:5">
      <c r="A44" s="18" t="str">
        <f>Cherry!A31</f>
        <v>Job Title:</v>
      </c>
      <c r="B44" s="18" t="str">
        <f>Cherry!B31</f>
        <v>Staff</v>
      </c>
      <c r="C44" s="7"/>
      <c r="D44" s="18" t="str">
        <f>Kim!A29</f>
        <v>Job Title:</v>
      </c>
      <c r="E44" s="18" t="str">
        <f>Kim!B29</f>
        <v>Staff</v>
      </c>
    </row>
    <row r="45" spans="1:5">
      <c r="A45" s="18" t="str">
        <f>Cherry!A32</f>
        <v>Payment Date:</v>
      </c>
      <c r="B45" s="19">
        <f>Cherry!B32</f>
        <v>46193</v>
      </c>
      <c r="C45" s="7"/>
      <c r="D45" s="18" t="str">
        <f>Kim!A30</f>
        <v>Payment Date:</v>
      </c>
      <c r="E45" s="19">
        <f>Kim!B30</f>
        <v>46193</v>
      </c>
    </row>
    <row r="46" spans="1:5">
      <c r="A46" s="18" t="str">
        <f>Cherry!A33</f>
        <v>Cut Off Period:</v>
      </c>
      <c r="B46" s="18" t="str">
        <f>Cherry!B33</f>
        <v>Jun-1 to Jun-15, 2026</v>
      </c>
      <c r="C46" s="7"/>
      <c r="D46" s="18" t="str">
        <f>Kim!A31</f>
        <v>Cut Off Period:</v>
      </c>
      <c r="E46" s="18" t="str">
        <f>Kim!B31</f>
        <v>Jun-1 to Jun-15, 2026</v>
      </c>
    </row>
    <row r="47" spans="1:5">
      <c r="A47" s="18" t="str">
        <f>Cherry!A34</f>
        <v>Days Worked</v>
      </c>
      <c r="B47" s="18">
        <f>Cherry!B34</f>
        <v>9</v>
      </c>
      <c r="C47" s="7"/>
      <c r="D47" s="18" t="str">
        <f>Kim!A32</f>
        <v>Days Worked</v>
      </c>
      <c r="E47" s="18">
        <f>Kim!B32</f>
        <v>4</v>
      </c>
    </row>
    <row r="48" spans="1:5">
      <c r="A48" s="20" t="str">
        <f>Cherry!A35</f>
        <v>Adjustments</v>
      </c>
      <c r="B48" s="18"/>
      <c r="C48" s="7"/>
      <c r="D48" s="20" t="str">
        <f>Kim!A33</f>
        <v>Adjustments</v>
      </c>
      <c r="E48" s="18"/>
    </row>
    <row r="49" spans="1:5">
      <c r="A49" s="18" t="str">
        <f>Cherry!A36</f>
        <v>Basic Pay</v>
      </c>
      <c r="B49" s="14">
        <f>Cherry!B36</f>
        <v>3375</v>
      </c>
      <c r="C49" s="7"/>
      <c r="D49" s="18" t="str">
        <f>Kim!A34</f>
        <v>Basic Pay</v>
      </c>
      <c r="E49" s="14">
        <f>Kim!B34</f>
        <v>951.5625</v>
      </c>
    </row>
    <row r="50" spans="1:5">
      <c r="A50" s="18" t="str">
        <f>Cherry!A37</f>
        <v>Bonus/Incentives</v>
      </c>
      <c r="B50" s="14">
        <f>Cherry!B37</f>
        <v>0</v>
      </c>
      <c r="C50" s="7"/>
      <c r="D50" s="18" t="str">
        <f>Kim!A35</f>
        <v>Bonus/Incentives</v>
      </c>
      <c r="E50" s="14">
        <f>Kim!B35</f>
        <v>0</v>
      </c>
    </row>
    <row r="51" spans="1:5">
      <c r="A51" s="18" t="str">
        <f>Cherry!A38</f>
        <v>Overtime Pay</v>
      </c>
      <c r="B51" s="14">
        <f>Cherry!B38</f>
        <v>1546.875</v>
      </c>
      <c r="C51" s="7"/>
      <c r="D51" s="18" t="str">
        <f>Kim!A36</f>
        <v>Overtime Pay</v>
      </c>
      <c r="E51" s="14">
        <f>Kim!B36</f>
        <v>9.3258734068513149E-14</v>
      </c>
    </row>
    <row r="52" spans="1:5">
      <c r="A52" s="18" t="str">
        <f>Cherry!A39</f>
        <v>Other Income</v>
      </c>
      <c r="B52" s="14">
        <f>Cherry!B39</f>
        <v>0</v>
      </c>
      <c r="C52" s="7"/>
      <c r="D52" s="18" t="str">
        <f>Kim!A37</f>
        <v>Other Income</v>
      </c>
      <c r="E52" s="14">
        <f>Kim!B37</f>
        <v>0</v>
      </c>
    </row>
    <row r="53" spans="1:5">
      <c r="A53" s="18"/>
      <c r="B53" s="14"/>
      <c r="C53" s="7"/>
      <c r="D53" s="18"/>
      <c r="E53" s="14"/>
    </row>
    <row r="54" spans="1:5">
      <c r="A54" s="18"/>
      <c r="B54" s="14"/>
      <c r="C54" s="7"/>
      <c r="D54" s="18"/>
      <c r="E54" s="14"/>
    </row>
    <row r="55" spans="1:5">
      <c r="A55" s="18" t="str">
        <f>Cherry!A42</f>
        <v>Gross Pay</v>
      </c>
      <c r="B55" s="14">
        <f>Cherry!B42</f>
        <v>4921.875</v>
      </c>
      <c r="C55" s="7"/>
      <c r="D55" s="18" t="str">
        <f>Kim!A40</f>
        <v>Gross Pay</v>
      </c>
      <c r="E55" s="14">
        <f>Kim!B40</f>
        <v>951.56250000000011</v>
      </c>
    </row>
    <row r="56" spans="1:5">
      <c r="A56" s="18" t="str">
        <f>Cherry!A43</f>
        <v>Deductions</v>
      </c>
      <c r="B56" s="14">
        <f>Cherry!B43</f>
        <v>0</v>
      </c>
      <c r="C56" s="7"/>
      <c r="D56" s="18" t="str">
        <f>Kim!A41</f>
        <v>Deductions</v>
      </c>
      <c r="E56" s="14">
        <f>Kim!B41</f>
        <v>-500</v>
      </c>
    </row>
    <row r="57" spans="1:5">
      <c r="A57" s="18" t="str">
        <f>Cherry!A44</f>
        <v>WH Tax</v>
      </c>
      <c r="B57" s="14">
        <f>Cherry!B44</f>
        <v>0</v>
      </c>
      <c r="C57" s="7"/>
      <c r="D57" s="18" t="e">
        <f>Kim!#REF!</f>
        <v>#REF!</v>
      </c>
      <c r="E57" s="14" t="e">
        <f>Kim!#REF!</f>
        <v>#REF!</v>
      </c>
    </row>
    <row r="58" spans="1:5">
      <c r="A58" s="18"/>
      <c r="B58" s="14"/>
      <c r="C58" s="7"/>
      <c r="D58" s="18"/>
      <c r="E58" s="14"/>
    </row>
    <row r="59" spans="1:5">
      <c r="A59" s="20" t="str">
        <f>Cherry!A46</f>
        <v>Net Pay</v>
      </c>
      <c r="B59" s="14">
        <f>Cherry!B46</f>
        <v>4921.875</v>
      </c>
      <c r="C59" s="7"/>
      <c r="D59" s="20" t="str">
        <f>Kim!A45</f>
        <v>Net Pay</v>
      </c>
      <c r="E59" s="14">
        <f>Kim!B45</f>
        <v>-348.43749999999989</v>
      </c>
    </row>
    <row r="60" spans="1:5">
      <c r="A60" s="7"/>
      <c r="B60" s="7"/>
      <c r="C60" s="7"/>
      <c r="D60" s="7"/>
      <c r="E60" s="7"/>
    </row>
    <row r="62" spans="1:5" ht="17.399999999999999">
      <c r="A62" s="34" t="s">
        <v>39</v>
      </c>
      <c r="B62" s="34"/>
      <c r="D62" s="34" t="s">
        <v>39</v>
      </c>
      <c r="E62" s="34"/>
    </row>
    <row r="63" spans="1:5">
      <c r="A63" s="10" t="str">
        <f>Mark!A31</f>
        <v>Name:</v>
      </c>
      <c r="B63" s="10" t="str">
        <f>Mark!B31</f>
        <v>Mark</v>
      </c>
      <c r="D63" s="10" t="str">
        <f>Chardiya!A24</f>
        <v>Name:</v>
      </c>
      <c r="E63" s="10" t="str">
        <f>Micky!B31</f>
        <v>Micky</v>
      </c>
    </row>
    <row r="64" spans="1:5">
      <c r="A64" s="10" t="str">
        <f>Mark!A32</f>
        <v>Job Title:</v>
      </c>
      <c r="B64" s="10" t="str">
        <f>Mark!B32</f>
        <v>Staff</v>
      </c>
      <c r="D64" s="10" t="str">
        <f>Chardiya!A25</f>
        <v>Job Title:</v>
      </c>
      <c r="E64" s="10" t="str">
        <f>Micky!B32</f>
        <v>Staff</v>
      </c>
    </row>
    <row r="65" spans="1:5">
      <c r="A65" s="10" t="str">
        <f>Mark!A33</f>
        <v>Payment Date:</v>
      </c>
      <c r="B65" s="19">
        <f>Mark!B33</f>
        <v>46193</v>
      </c>
      <c r="D65" s="10" t="str">
        <f>Chardiya!A26</f>
        <v>Payment Date:</v>
      </c>
      <c r="E65" s="10">
        <f>Micky!B33</f>
        <v>46193</v>
      </c>
    </row>
    <row r="66" spans="1:5">
      <c r="A66" s="10" t="str">
        <f>Mark!A34</f>
        <v>Cut Off Period:</v>
      </c>
      <c r="B66" s="10" t="str">
        <f>Mark!B34</f>
        <v>Jun-1 to Jun-15, 2026</v>
      </c>
      <c r="D66" s="10" t="str">
        <f>Chardiya!A27</f>
        <v>Cut Off Period:</v>
      </c>
      <c r="E66" s="10" t="str">
        <f>Micky!B34</f>
        <v>Jun-1 to Jun-15, 2026</v>
      </c>
    </row>
    <row r="67" spans="1:5">
      <c r="A67" s="10" t="str">
        <f>Mark!A35</f>
        <v>Days Worked</v>
      </c>
      <c r="B67" s="10">
        <f>Mark!B35</f>
        <v>10</v>
      </c>
      <c r="D67" s="10" t="str">
        <f>Chardiya!A28</f>
        <v>Days Worked</v>
      </c>
      <c r="E67" s="10">
        <f>Micky!B35</f>
        <v>9</v>
      </c>
    </row>
    <row r="68" spans="1:5">
      <c r="A68" s="13" t="str">
        <f>Mark!A36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Mark!A37</f>
        <v>Basic Pay</v>
      </c>
      <c r="B69" s="14">
        <f>Mark!B37</f>
        <v>3084.375</v>
      </c>
      <c r="D69" s="10" t="str">
        <f>Chardiya!A30</f>
        <v>Basic Pay</v>
      </c>
      <c r="E69" s="14">
        <f>Micky!B37</f>
        <v>2700</v>
      </c>
    </row>
    <row r="70" spans="1:5">
      <c r="A70" s="10" t="str">
        <f>Mark!A38</f>
        <v>Bonus/Incentives</v>
      </c>
      <c r="B70" s="14">
        <f>Mark!B38</f>
        <v>0</v>
      </c>
      <c r="D70" s="10" t="str">
        <f>Chardiya!A31</f>
        <v>Bonus/Incentives</v>
      </c>
      <c r="E70" s="14">
        <f>Micky!B38</f>
        <v>0</v>
      </c>
    </row>
    <row r="71" spans="1:5">
      <c r="A71" s="10" t="str">
        <f>Mark!A39</f>
        <v>Overtime Pay</v>
      </c>
      <c r="B71" s="14">
        <f>Mark!B39</f>
        <v>892.50000000000011</v>
      </c>
      <c r="D71" s="10" t="str">
        <f>Chardiya!A32</f>
        <v>Overtime Pay</v>
      </c>
      <c r="E71" s="14">
        <f>Micky!B39</f>
        <v>1237.5</v>
      </c>
    </row>
    <row r="72" spans="1:5">
      <c r="A72" s="10" t="str">
        <f>Mark!A40</f>
        <v>Other Income</v>
      </c>
      <c r="B72" s="14">
        <f>Mark!B40</f>
        <v>0</v>
      </c>
      <c r="D72" s="10" t="str">
        <f>Chardiya!A33</f>
        <v>Other Income</v>
      </c>
      <c r="E72" s="14">
        <f>Micky!B40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Mark!A43</f>
        <v>Gross Pay</v>
      </c>
      <c r="B75" s="14">
        <f>Mark!B43</f>
        <v>3976.875</v>
      </c>
      <c r="D75" s="10" t="str">
        <f>Chardiya!A36</f>
        <v>Gross Pay</v>
      </c>
      <c r="E75" s="14">
        <f>Micky!B43</f>
        <v>3937.5</v>
      </c>
    </row>
    <row r="76" spans="1:5">
      <c r="A76" s="10" t="str">
        <f>Mark!A44</f>
        <v>Deductions</v>
      </c>
      <c r="B76" s="14">
        <f>Mark!B44</f>
        <v>-1000</v>
      </c>
      <c r="D76" s="10" t="str">
        <f>Chardiya!A37</f>
        <v>Deductions</v>
      </c>
      <c r="E76" s="14">
        <f>Micky!B44</f>
        <v>0</v>
      </c>
    </row>
    <row r="77" spans="1:5">
      <c r="A77" s="10" t="str">
        <f>Mark!A45</f>
        <v>WH Tax</v>
      </c>
      <c r="B77" s="14">
        <f>Mark!B45</f>
        <v>0</v>
      </c>
      <c r="D77" s="10" t="str">
        <f>Chardiya!A38</f>
        <v>WH Tax</v>
      </c>
      <c r="E77" s="14">
        <f>Micky!B45</f>
        <v>0</v>
      </c>
    </row>
    <row r="78" spans="1:5">
      <c r="A78" s="10"/>
      <c r="B78" s="14"/>
      <c r="D78" s="10"/>
      <c r="E78" s="14"/>
    </row>
    <row r="79" spans="1:5">
      <c r="A79" s="13" t="str">
        <f>Mark!A47</f>
        <v>Net Pay</v>
      </c>
      <c r="B79" s="14">
        <f>Mark!B47</f>
        <v>2976.875</v>
      </c>
      <c r="D79" s="13" t="str">
        <f>Chardiya!A40</f>
        <v>Net Pay</v>
      </c>
      <c r="E79" s="14">
        <f>Micky!B47</f>
        <v>3937.5</v>
      </c>
    </row>
    <row r="82" spans="1:5" ht="17.399999999999999">
      <c r="A82" s="34" t="s">
        <v>39</v>
      </c>
      <c r="B82" s="34"/>
      <c r="D82" s="34" t="s">
        <v>39</v>
      </c>
      <c r="E82" s="34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19">
        <f>Lenard!B26</f>
        <v>46076</v>
      </c>
      <c r="D85" s="10" t="str">
        <f>David!A26</f>
        <v>Payment Date:</v>
      </c>
      <c r="E85" s="19">
        <f>David!B26</f>
        <v>46193</v>
      </c>
    </row>
    <row r="86" spans="1:5">
      <c r="A86" s="10" t="str">
        <f>Lenard!A27</f>
        <v>Cut Off Period:</v>
      </c>
      <c r="B86" s="10" t="str">
        <f>Lenard!B27</f>
        <v>Jun-1 to Jun-15, 2026</v>
      </c>
      <c r="D86" s="10" t="str">
        <f>David!A27</f>
        <v>Cut Off Period:</v>
      </c>
      <c r="E86" s="10" t="str">
        <f>David!B27</f>
        <v>Jun-1 to Jun-15,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7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3855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3855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-1147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2708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E150"/>
  <sheetViews>
    <sheetView topLeftCell="A76" workbookViewId="0">
      <selection activeCell="C136" sqref="C136:E150"/>
    </sheetView>
  </sheetViews>
  <sheetFormatPr defaultColWidth="12.109375" defaultRowHeight="14.4"/>
  <sheetData>
    <row r="1" spans="1:5">
      <c r="A1" s="31" t="s">
        <v>109</v>
      </c>
      <c r="B1" s="31" t="s">
        <v>71</v>
      </c>
      <c r="C1" s="29" t="s">
        <v>179</v>
      </c>
      <c r="D1" s="30" t="s">
        <v>180</v>
      </c>
      <c r="E1" s="30" t="s">
        <v>181</v>
      </c>
    </row>
    <row r="2" spans="1:5">
      <c r="A2" s="31" t="s">
        <v>109</v>
      </c>
      <c r="B2" s="31" t="s">
        <v>71</v>
      </c>
      <c r="C2" s="29" t="s">
        <v>182</v>
      </c>
      <c r="D2" s="30" t="s">
        <v>135</v>
      </c>
      <c r="E2" s="30" t="s">
        <v>183</v>
      </c>
    </row>
    <row r="3" spans="1:5">
      <c r="A3" s="31" t="s">
        <v>109</v>
      </c>
      <c r="B3" s="31" t="s">
        <v>71</v>
      </c>
      <c r="C3" s="29" t="s">
        <v>184</v>
      </c>
      <c r="D3" s="30" t="s">
        <v>169</v>
      </c>
      <c r="E3" s="30" t="s">
        <v>185</v>
      </c>
    </row>
    <row r="4" spans="1:5">
      <c r="A4" s="31" t="s">
        <v>109</v>
      </c>
      <c r="B4" s="31" t="s">
        <v>71</v>
      </c>
      <c r="C4" s="29" t="s">
        <v>186</v>
      </c>
      <c r="D4" s="30" t="s">
        <v>73</v>
      </c>
      <c r="E4" s="30" t="s">
        <v>73</v>
      </c>
    </row>
    <row r="5" spans="1:5">
      <c r="A5" s="31" t="s">
        <v>109</v>
      </c>
      <c r="B5" s="31" t="s">
        <v>71</v>
      </c>
      <c r="C5" s="29" t="s">
        <v>187</v>
      </c>
      <c r="D5" s="30" t="s">
        <v>73</v>
      </c>
      <c r="E5" s="30" t="s">
        <v>73</v>
      </c>
    </row>
    <row r="6" spans="1:5">
      <c r="A6" s="31" t="s">
        <v>109</v>
      </c>
      <c r="B6" s="31" t="s">
        <v>71</v>
      </c>
      <c r="C6" s="29" t="s">
        <v>188</v>
      </c>
      <c r="D6" s="30" t="s">
        <v>67</v>
      </c>
      <c r="E6" s="30" t="s">
        <v>172</v>
      </c>
    </row>
    <row r="7" spans="1:5">
      <c r="A7" s="31" t="s">
        <v>109</v>
      </c>
      <c r="B7" s="31" t="s">
        <v>71</v>
      </c>
      <c r="C7" s="29" t="s">
        <v>189</v>
      </c>
      <c r="D7" s="30" t="s">
        <v>159</v>
      </c>
      <c r="E7" s="30" t="s">
        <v>120</v>
      </c>
    </row>
    <row r="8" spans="1:5">
      <c r="A8" s="31" t="s">
        <v>109</v>
      </c>
      <c r="B8" s="31" t="s">
        <v>71</v>
      </c>
      <c r="C8" s="29" t="s">
        <v>190</v>
      </c>
      <c r="D8" s="30" t="s">
        <v>130</v>
      </c>
      <c r="E8" s="30" t="s">
        <v>191</v>
      </c>
    </row>
    <row r="9" spans="1:5">
      <c r="A9" s="31" t="s">
        <v>109</v>
      </c>
      <c r="B9" s="31" t="s">
        <v>71</v>
      </c>
      <c r="C9" s="29" t="s">
        <v>192</v>
      </c>
      <c r="D9" s="30" t="s">
        <v>73</v>
      </c>
      <c r="E9" s="30" t="s">
        <v>73</v>
      </c>
    </row>
    <row r="10" spans="1:5">
      <c r="A10" s="31" t="s">
        <v>109</v>
      </c>
      <c r="B10" s="31" t="s">
        <v>71</v>
      </c>
      <c r="C10" s="29" t="s">
        <v>193</v>
      </c>
      <c r="D10" s="30" t="s">
        <v>73</v>
      </c>
      <c r="E10" s="30" t="s">
        <v>73</v>
      </c>
    </row>
    <row r="11" spans="1:5">
      <c r="A11" s="31" t="s">
        <v>109</v>
      </c>
      <c r="B11" s="31" t="s">
        <v>71</v>
      </c>
      <c r="C11" s="29" t="s">
        <v>194</v>
      </c>
      <c r="D11" s="30" t="s">
        <v>73</v>
      </c>
      <c r="E11" s="30" t="s">
        <v>73</v>
      </c>
    </row>
    <row r="12" spans="1:5">
      <c r="A12" s="31" t="s">
        <v>109</v>
      </c>
      <c r="B12" s="31" t="s">
        <v>71</v>
      </c>
      <c r="C12" s="29" t="s">
        <v>195</v>
      </c>
      <c r="D12" s="30" t="s">
        <v>73</v>
      </c>
      <c r="E12" s="30" t="s">
        <v>73</v>
      </c>
    </row>
    <row r="13" spans="1:5">
      <c r="A13" s="31" t="s">
        <v>109</v>
      </c>
      <c r="B13" s="31" t="s">
        <v>71</v>
      </c>
      <c r="C13" s="29" t="s">
        <v>196</v>
      </c>
      <c r="D13" s="29" t="s">
        <v>197</v>
      </c>
      <c r="E13" s="30" t="s">
        <v>198</v>
      </c>
    </row>
    <row r="14" spans="1:5">
      <c r="A14" s="31" t="s">
        <v>109</v>
      </c>
      <c r="B14" s="31" t="s">
        <v>71</v>
      </c>
      <c r="C14" s="29" t="s">
        <v>199</v>
      </c>
      <c r="D14" s="30" t="s">
        <v>135</v>
      </c>
      <c r="E14" s="30" t="s">
        <v>167</v>
      </c>
    </row>
    <row r="15" spans="1:5">
      <c r="A15" s="31" t="s">
        <v>109</v>
      </c>
      <c r="B15" s="31" t="s">
        <v>71</v>
      </c>
      <c r="C15" s="29" t="s">
        <v>200</v>
      </c>
      <c r="D15" s="30" t="s">
        <v>79</v>
      </c>
      <c r="E15" s="30" t="s">
        <v>99</v>
      </c>
    </row>
    <row r="16" spans="1:5">
      <c r="A16" s="31" t="s">
        <v>95</v>
      </c>
      <c r="B16" s="31" t="s">
        <v>71</v>
      </c>
      <c r="C16" s="29" t="s">
        <v>179</v>
      </c>
      <c r="D16" s="30" t="s">
        <v>73</v>
      </c>
      <c r="E16" s="30" t="s">
        <v>73</v>
      </c>
    </row>
    <row r="17" spans="1:5">
      <c r="A17" s="31" t="s">
        <v>95</v>
      </c>
      <c r="B17" s="31" t="s">
        <v>71</v>
      </c>
      <c r="C17" s="29" t="s">
        <v>182</v>
      </c>
      <c r="D17" s="30" t="s">
        <v>130</v>
      </c>
      <c r="E17" s="30" t="s">
        <v>183</v>
      </c>
    </row>
    <row r="18" spans="1:5">
      <c r="A18" s="31" t="s">
        <v>95</v>
      </c>
      <c r="B18" s="31" t="s">
        <v>71</v>
      </c>
      <c r="C18" s="29" t="s">
        <v>184</v>
      </c>
      <c r="D18" s="30" t="s">
        <v>168</v>
      </c>
      <c r="E18" s="30" t="s">
        <v>201</v>
      </c>
    </row>
    <row r="19" spans="1:5">
      <c r="A19" s="31" t="s">
        <v>95</v>
      </c>
      <c r="B19" s="31" t="s">
        <v>71</v>
      </c>
      <c r="C19" s="29" t="s">
        <v>186</v>
      </c>
      <c r="D19" s="30" t="s">
        <v>139</v>
      </c>
      <c r="E19" s="30" t="s">
        <v>73</v>
      </c>
    </row>
    <row r="20" spans="1:5">
      <c r="A20" s="31" t="s">
        <v>95</v>
      </c>
      <c r="B20" s="31" t="s">
        <v>71</v>
      </c>
      <c r="C20" s="29" t="s">
        <v>187</v>
      </c>
      <c r="D20" s="30" t="s">
        <v>73</v>
      </c>
      <c r="E20" s="30" t="s">
        <v>73</v>
      </c>
    </row>
    <row r="21" spans="1:5">
      <c r="A21" s="31" t="s">
        <v>95</v>
      </c>
      <c r="B21" s="31" t="s">
        <v>71</v>
      </c>
      <c r="C21" s="29" t="s">
        <v>188</v>
      </c>
      <c r="D21" s="30" t="s">
        <v>73</v>
      </c>
      <c r="E21" s="30" t="s">
        <v>201</v>
      </c>
    </row>
    <row r="22" spans="1:5">
      <c r="A22" s="31" t="s">
        <v>95</v>
      </c>
      <c r="B22" s="31" t="s">
        <v>71</v>
      </c>
      <c r="C22" s="29" t="s">
        <v>189</v>
      </c>
      <c r="D22" s="30" t="s">
        <v>68</v>
      </c>
      <c r="E22" s="30" t="s">
        <v>202</v>
      </c>
    </row>
    <row r="23" spans="1:5">
      <c r="A23" s="31" t="s">
        <v>95</v>
      </c>
      <c r="B23" s="31" t="s">
        <v>71</v>
      </c>
      <c r="C23" s="29" t="s">
        <v>190</v>
      </c>
      <c r="D23" s="30" t="s">
        <v>73</v>
      </c>
      <c r="E23" s="30" t="s">
        <v>73</v>
      </c>
    </row>
    <row r="24" spans="1:5">
      <c r="A24" s="31" t="s">
        <v>95</v>
      </c>
      <c r="B24" s="31" t="s">
        <v>71</v>
      </c>
      <c r="C24" s="29" t="s">
        <v>192</v>
      </c>
      <c r="D24" s="30" t="s">
        <v>73</v>
      </c>
      <c r="E24" s="30" t="s">
        <v>73</v>
      </c>
    </row>
    <row r="25" spans="1:5">
      <c r="A25" s="31" t="s">
        <v>95</v>
      </c>
      <c r="B25" s="31" t="s">
        <v>71</v>
      </c>
      <c r="C25" s="29" t="s">
        <v>193</v>
      </c>
      <c r="D25" s="30" t="s">
        <v>73</v>
      </c>
      <c r="E25" s="30" t="s">
        <v>73</v>
      </c>
    </row>
    <row r="26" spans="1:5">
      <c r="A26" s="31" t="s">
        <v>95</v>
      </c>
      <c r="B26" s="31" t="s">
        <v>71</v>
      </c>
      <c r="C26" s="29" t="s">
        <v>194</v>
      </c>
      <c r="D26" s="30" t="s">
        <v>73</v>
      </c>
      <c r="E26" s="30" t="s">
        <v>73</v>
      </c>
    </row>
    <row r="27" spans="1:5">
      <c r="A27" s="31" t="s">
        <v>95</v>
      </c>
      <c r="B27" s="31" t="s">
        <v>71</v>
      </c>
      <c r="C27" s="29" t="s">
        <v>195</v>
      </c>
      <c r="D27" s="30" t="s">
        <v>73</v>
      </c>
      <c r="E27" s="30" t="s">
        <v>73</v>
      </c>
    </row>
    <row r="28" spans="1:5">
      <c r="A28" s="31" t="s">
        <v>95</v>
      </c>
      <c r="B28" s="31" t="s">
        <v>71</v>
      </c>
      <c r="C28" s="29" t="s">
        <v>196</v>
      </c>
      <c r="D28" s="30" t="s">
        <v>73</v>
      </c>
      <c r="E28" s="30" t="s">
        <v>73</v>
      </c>
    </row>
    <row r="29" spans="1:5">
      <c r="A29" s="31" t="s">
        <v>95</v>
      </c>
      <c r="B29" s="31" t="s">
        <v>71</v>
      </c>
      <c r="C29" s="29" t="s">
        <v>199</v>
      </c>
      <c r="D29" s="30" t="s">
        <v>73</v>
      </c>
      <c r="E29" s="30" t="s">
        <v>73</v>
      </c>
    </row>
    <row r="30" spans="1:5">
      <c r="A30" s="31" t="s">
        <v>95</v>
      </c>
      <c r="B30" s="31" t="s">
        <v>71</v>
      </c>
      <c r="C30" s="29" t="s">
        <v>200</v>
      </c>
      <c r="D30" s="30" t="s">
        <v>73</v>
      </c>
      <c r="E30" s="30" t="s">
        <v>73</v>
      </c>
    </row>
    <row r="31" spans="1:5">
      <c r="A31" s="31" t="s">
        <v>143</v>
      </c>
      <c r="B31" s="31" t="s">
        <v>71</v>
      </c>
      <c r="C31" s="29" t="s">
        <v>179</v>
      </c>
      <c r="D31" s="30" t="s">
        <v>73</v>
      </c>
      <c r="E31" s="30" t="s">
        <v>73</v>
      </c>
    </row>
    <row r="32" spans="1:5">
      <c r="A32" s="31" t="s">
        <v>143</v>
      </c>
      <c r="B32" s="31" t="s">
        <v>71</v>
      </c>
      <c r="C32" s="29" t="s">
        <v>182</v>
      </c>
      <c r="D32" s="30" t="s">
        <v>73</v>
      </c>
      <c r="E32" s="30" t="s">
        <v>73</v>
      </c>
    </row>
    <row r="33" spans="1:5">
      <c r="A33" s="31" t="s">
        <v>143</v>
      </c>
      <c r="B33" s="31" t="s">
        <v>71</v>
      </c>
      <c r="C33" s="29" t="s">
        <v>184</v>
      </c>
      <c r="D33" s="30" t="s">
        <v>73</v>
      </c>
      <c r="E33" s="30" t="s">
        <v>73</v>
      </c>
    </row>
    <row r="34" spans="1:5">
      <c r="A34" s="31" t="s">
        <v>143</v>
      </c>
      <c r="B34" s="31" t="s">
        <v>71</v>
      </c>
      <c r="C34" s="29" t="s">
        <v>186</v>
      </c>
      <c r="D34" s="30" t="s">
        <v>73</v>
      </c>
      <c r="E34" s="30" t="s">
        <v>73</v>
      </c>
    </row>
    <row r="35" spans="1:5">
      <c r="A35" s="31" t="s">
        <v>143</v>
      </c>
      <c r="B35" s="31" t="s">
        <v>71</v>
      </c>
      <c r="C35" s="29" t="s">
        <v>187</v>
      </c>
      <c r="D35" s="30" t="s">
        <v>73</v>
      </c>
      <c r="E35" s="30" t="s">
        <v>73</v>
      </c>
    </row>
    <row r="36" spans="1:5">
      <c r="A36" s="31" t="s">
        <v>143</v>
      </c>
      <c r="B36" s="31" t="s">
        <v>71</v>
      </c>
      <c r="C36" s="29" t="s">
        <v>188</v>
      </c>
      <c r="D36" s="30" t="s">
        <v>73</v>
      </c>
      <c r="E36" s="30" t="s">
        <v>73</v>
      </c>
    </row>
    <row r="37" spans="1:5">
      <c r="A37" s="31" t="s">
        <v>143</v>
      </c>
      <c r="B37" s="31" t="s">
        <v>71</v>
      </c>
      <c r="C37" s="29" t="s">
        <v>189</v>
      </c>
      <c r="D37" s="30" t="s">
        <v>73</v>
      </c>
      <c r="E37" s="30" t="s">
        <v>73</v>
      </c>
    </row>
    <row r="38" spans="1:5">
      <c r="A38" s="31" t="s">
        <v>143</v>
      </c>
      <c r="B38" s="31" t="s">
        <v>71</v>
      </c>
      <c r="C38" s="29" t="s">
        <v>190</v>
      </c>
      <c r="D38" s="30" t="s">
        <v>73</v>
      </c>
      <c r="E38" s="30" t="s">
        <v>73</v>
      </c>
    </row>
    <row r="39" spans="1:5">
      <c r="A39" s="31" t="s">
        <v>143</v>
      </c>
      <c r="B39" s="31" t="s">
        <v>71</v>
      </c>
      <c r="C39" s="29" t="s">
        <v>192</v>
      </c>
      <c r="D39" s="30" t="s">
        <v>73</v>
      </c>
      <c r="E39" s="30" t="s">
        <v>73</v>
      </c>
    </row>
    <row r="40" spans="1:5">
      <c r="A40" s="31" t="s">
        <v>143</v>
      </c>
      <c r="B40" s="31" t="s">
        <v>71</v>
      </c>
      <c r="C40" s="29" t="s">
        <v>193</v>
      </c>
      <c r="D40" s="30" t="s">
        <v>73</v>
      </c>
      <c r="E40" s="30" t="s">
        <v>73</v>
      </c>
    </row>
    <row r="41" spans="1:5">
      <c r="A41" s="31" t="s">
        <v>143</v>
      </c>
      <c r="B41" s="31" t="s">
        <v>71</v>
      </c>
      <c r="C41" s="29" t="s">
        <v>194</v>
      </c>
      <c r="D41" s="30" t="s">
        <v>73</v>
      </c>
      <c r="E41" s="30" t="s">
        <v>73</v>
      </c>
    </row>
    <row r="42" spans="1:5">
      <c r="A42" s="31" t="s">
        <v>143</v>
      </c>
      <c r="B42" s="31" t="s">
        <v>71</v>
      </c>
      <c r="C42" s="29" t="s">
        <v>195</v>
      </c>
      <c r="D42" s="30" t="s">
        <v>73</v>
      </c>
      <c r="E42" s="30" t="s">
        <v>73</v>
      </c>
    </row>
    <row r="43" spans="1:5">
      <c r="A43" s="31" t="s">
        <v>143</v>
      </c>
      <c r="B43" s="31" t="s">
        <v>71</v>
      </c>
      <c r="C43" s="29" t="s">
        <v>196</v>
      </c>
      <c r="D43" s="30" t="s">
        <v>73</v>
      </c>
      <c r="E43" s="30" t="s">
        <v>73</v>
      </c>
    </row>
    <row r="44" spans="1:5">
      <c r="A44" s="31" t="s">
        <v>143</v>
      </c>
      <c r="B44" s="31" t="s">
        <v>71</v>
      </c>
      <c r="C44" s="29" t="s">
        <v>199</v>
      </c>
      <c r="D44" s="30" t="s">
        <v>73</v>
      </c>
      <c r="E44" s="30" t="s">
        <v>73</v>
      </c>
    </row>
    <row r="45" spans="1:5">
      <c r="A45" s="31" t="s">
        <v>143</v>
      </c>
      <c r="B45" s="31" t="s">
        <v>71</v>
      </c>
      <c r="C45" s="29" t="s">
        <v>200</v>
      </c>
      <c r="D45" s="30" t="s">
        <v>73</v>
      </c>
      <c r="E45" s="30" t="s">
        <v>73</v>
      </c>
    </row>
    <row r="46" spans="1:5">
      <c r="A46" s="31" t="s">
        <v>119</v>
      </c>
      <c r="B46" s="31" t="s">
        <v>71</v>
      </c>
      <c r="C46" s="29" t="s">
        <v>179</v>
      </c>
      <c r="D46" s="30" t="s">
        <v>168</v>
      </c>
      <c r="E46" s="30" t="s">
        <v>181</v>
      </c>
    </row>
    <row r="47" spans="1:5">
      <c r="A47" s="31" t="s">
        <v>119</v>
      </c>
      <c r="B47" s="31" t="s">
        <v>71</v>
      </c>
      <c r="C47" s="29" t="s">
        <v>182</v>
      </c>
      <c r="D47" s="30" t="s">
        <v>135</v>
      </c>
      <c r="E47" s="30" t="s">
        <v>166</v>
      </c>
    </row>
    <row r="48" spans="1:5">
      <c r="A48" s="31" t="s">
        <v>119</v>
      </c>
      <c r="B48" s="31" t="s">
        <v>71</v>
      </c>
      <c r="C48" s="29" t="s">
        <v>184</v>
      </c>
      <c r="D48" s="30" t="s">
        <v>137</v>
      </c>
      <c r="E48" s="30" t="s">
        <v>154</v>
      </c>
    </row>
    <row r="49" spans="1:5">
      <c r="A49" s="31" t="s">
        <v>119</v>
      </c>
      <c r="B49" s="31" t="s">
        <v>71</v>
      </c>
      <c r="C49" s="29" t="s">
        <v>186</v>
      </c>
      <c r="D49" s="30" t="s">
        <v>148</v>
      </c>
      <c r="E49" s="30" t="s">
        <v>54</v>
      </c>
    </row>
    <row r="50" spans="1:5">
      <c r="A50" s="31" t="s">
        <v>119</v>
      </c>
      <c r="B50" s="31" t="s">
        <v>71</v>
      </c>
      <c r="C50" s="29" t="s">
        <v>187</v>
      </c>
      <c r="D50" s="30" t="s">
        <v>73</v>
      </c>
      <c r="E50" s="30" t="s">
        <v>73</v>
      </c>
    </row>
    <row r="51" spans="1:5">
      <c r="A51" s="31" t="s">
        <v>119</v>
      </c>
      <c r="B51" s="31" t="s">
        <v>71</v>
      </c>
      <c r="C51" s="29" t="s">
        <v>188</v>
      </c>
      <c r="D51" s="30" t="s">
        <v>73</v>
      </c>
      <c r="E51" s="30" t="s">
        <v>73</v>
      </c>
    </row>
    <row r="52" spans="1:5">
      <c r="A52" s="31" t="s">
        <v>119</v>
      </c>
      <c r="B52" s="31" t="s">
        <v>71</v>
      </c>
      <c r="C52" s="29" t="s">
        <v>189</v>
      </c>
      <c r="D52" s="30" t="s">
        <v>73</v>
      </c>
      <c r="E52" s="30" t="s">
        <v>73</v>
      </c>
    </row>
    <row r="53" spans="1:5">
      <c r="A53" s="31" t="s">
        <v>119</v>
      </c>
      <c r="B53" s="31" t="s">
        <v>71</v>
      </c>
      <c r="C53" s="29" t="s">
        <v>190</v>
      </c>
      <c r="D53" s="30" t="s">
        <v>73</v>
      </c>
      <c r="E53" s="30" t="s">
        <v>73</v>
      </c>
    </row>
    <row r="54" spans="1:5">
      <c r="A54" s="31" t="s">
        <v>119</v>
      </c>
      <c r="B54" s="31" t="s">
        <v>71</v>
      </c>
      <c r="C54" s="29" t="s">
        <v>192</v>
      </c>
      <c r="D54" s="30" t="s">
        <v>73</v>
      </c>
      <c r="E54" s="30" t="s">
        <v>73</v>
      </c>
    </row>
    <row r="55" spans="1:5">
      <c r="A55" s="31" t="s">
        <v>119</v>
      </c>
      <c r="B55" s="31" t="s">
        <v>71</v>
      </c>
      <c r="C55" s="29" t="s">
        <v>193</v>
      </c>
      <c r="D55" s="30" t="s">
        <v>73</v>
      </c>
      <c r="E55" s="30" t="s">
        <v>73</v>
      </c>
    </row>
    <row r="56" spans="1:5">
      <c r="A56" s="31" t="s">
        <v>119</v>
      </c>
      <c r="B56" s="31" t="s">
        <v>71</v>
      </c>
      <c r="C56" s="29" t="s">
        <v>194</v>
      </c>
      <c r="D56" s="30" t="s">
        <v>73</v>
      </c>
      <c r="E56" s="30" t="s">
        <v>73</v>
      </c>
    </row>
    <row r="57" spans="1:5">
      <c r="A57" s="31" t="s">
        <v>119</v>
      </c>
      <c r="B57" s="31" t="s">
        <v>71</v>
      </c>
      <c r="C57" s="29" t="s">
        <v>195</v>
      </c>
      <c r="D57" s="30" t="s">
        <v>73</v>
      </c>
      <c r="E57" s="30" t="s">
        <v>73</v>
      </c>
    </row>
    <row r="58" spans="1:5">
      <c r="A58" s="31" t="s">
        <v>119</v>
      </c>
      <c r="B58" s="31" t="s">
        <v>71</v>
      </c>
      <c r="C58" s="29" t="s">
        <v>196</v>
      </c>
      <c r="D58" s="30" t="s">
        <v>73</v>
      </c>
      <c r="E58" s="30" t="s">
        <v>73</v>
      </c>
    </row>
    <row r="59" spans="1:5">
      <c r="A59" s="31" t="s">
        <v>119</v>
      </c>
      <c r="B59" s="31" t="s">
        <v>71</v>
      </c>
      <c r="C59" s="29" t="s">
        <v>199</v>
      </c>
      <c r="D59" s="30" t="s">
        <v>73</v>
      </c>
      <c r="E59" s="30" t="s">
        <v>73</v>
      </c>
    </row>
    <row r="60" spans="1:5">
      <c r="A60" s="31" t="s">
        <v>119</v>
      </c>
      <c r="B60" s="31" t="s">
        <v>71</v>
      </c>
      <c r="C60" s="29" t="s">
        <v>200</v>
      </c>
      <c r="D60" s="30" t="s">
        <v>73</v>
      </c>
      <c r="E60" s="30" t="s">
        <v>73</v>
      </c>
    </row>
    <row r="61" spans="1:5">
      <c r="A61" s="31" t="s">
        <v>171</v>
      </c>
      <c r="B61" s="31" t="s">
        <v>71</v>
      </c>
      <c r="C61" s="29" t="s">
        <v>179</v>
      </c>
      <c r="D61" s="30" t="s">
        <v>79</v>
      </c>
      <c r="E61" s="30" t="s">
        <v>73</v>
      </c>
    </row>
    <row r="62" spans="1:5">
      <c r="A62" s="31" t="s">
        <v>171</v>
      </c>
      <c r="B62" s="31" t="s">
        <v>71</v>
      </c>
      <c r="C62" s="29" t="s">
        <v>182</v>
      </c>
      <c r="D62" s="30" t="s">
        <v>73</v>
      </c>
      <c r="E62" s="30" t="s">
        <v>73</v>
      </c>
    </row>
    <row r="63" spans="1:5">
      <c r="A63" s="31" t="s">
        <v>171</v>
      </c>
      <c r="B63" s="31" t="s">
        <v>71</v>
      </c>
      <c r="C63" s="29" t="s">
        <v>184</v>
      </c>
      <c r="D63" s="30" t="s">
        <v>73</v>
      </c>
      <c r="E63" s="30" t="s">
        <v>136</v>
      </c>
    </row>
    <row r="64" spans="1:5">
      <c r="A64" s="31" t="s">
        <v>171</v>
      </c>
      <c r="B64" s="31" t="s">
        <v>71</v>
      </c>
      <c r="C64" s="29" t="s">
        <v>186</v>
      </c>
      <c r="D64" s="30" t="s">
        <v>180</v>
      </c>
      <c r="E64" s="30" t="s">
        <v>54</v>
      </c>
    </row>
    <row r="65" spans="1:5">
      <c r="A65" s="31" t="s">
        <v>171</v>
      </c>
      <c r="B65" s="31" t="s">
        <v>71</v>
      </c>
      <c r="C65" s="29" t="s">
        <v>187</v>
      </c>
      <c r="D65" s="30" t="s">
        <v>73</v>
      </c>
      <c r="E65" s="30" t="s">
        <v>73</v>
      </c>
    </row>
    <row r="66" spans="1:5">
      <c r="A66" s="31" t="s">
        <v>171</v>
      </c>
      <c r="B66" s="31" t="s">
        <v>71</v>
      </c>
      <c r="C66" s="29" t="s">
        <v>188</v>
      </c>
      <c r="D66" s="30" t="s">
        <v>68</v>
      </c>
      <c r="E66" s="30" t="s">
        <v>73</v>
      </c>
    </row>
    <row r="67" spans="1:5">
      <c r="A67" s="31" t="s">
        <v>171</v>
      </c>
      <c r="B67" s="31" t="s">
        <v>71</v>
      </c>
      <c r="C67" s="29" t="s">
        <v>189</v>
      </c>
      <c r="D67" s="30" t="s">
        <v>68</v>
      </c>
      <c r="E67" s="30" t="s">
        <v>120</v>
      </c>
    </row>
    <row r="68" spans="1:5">
      <c r="A68" s="31" t="s">
        <v>171</v>
      </c>
      <c r="B68" s="31" t="s">
        <v>71</v>
      </c>
      <c r="C68" s="29" t="s">
        <v>190</v>
      </c>
      <c r="D68" s="30" t="s">
        <v>62</v>
      </c>
      <c r="E68" s="30" t="s">
        <v>29</v>
      </c>
    </row>
    <row r="69" spans="1:5">
      <c r="A69" s="31" t="s">
        <v>171</v>
      </c>
      <c r="B69" s="31" t="s">
        <v>71</v>
      </c>
      <c r="C69" s="29" t="s">
        <v>192</v>
      </c>
      <c r="D69" s="30" t="s">
        <v>73</v>
      </c>
      <c r="E69" s="30" t="s">
        <v>73</v>
      </c>
    </row>
    <row r="70" spans="1:5">
      <c r="A70" s="31" t="s">
        <v>171</v>
      </c>
      <c r="B70" s="31" t="s">
        <v>71</v>
      </c>
      <c r="C70" s="29" t="s">
        <v>193</v>
      </c>
      <c r="D70" s="30" t="s">
        <v>73</v>
      </c>
      <c r="E70" s="30" t="s">
        <v>73</v>
      </c>
    </row>
    <row r="71" spans="1:5">
      <c r="A71" s="31" t="s">
        <v>171</v>
      </c>
      <c r="B71" s="31" t="s">
        <v>71</v>
      </c>
      <c r="C71" s="29" t="s">
        <v>194</v>
      </c>
      <c r="D71" s="30" t="s">
        <v>73</v>
      </c>
      <c r="E71" s="30" t="s">
        <v>73</v>
      </c>
    </row>
    <row r="72" spans="1:5">
      <c r="A72" s="31" t="s">
        <v>171</v>
      </c>
      <c r="B72" s="31" t="s">
        <v>71</v>
      </c>
      <c r="C72" s="29" t="s">
        <v>195</v>
      </c>
      <c r="D72" s="30" t="s">
        <v>73</v>
      </c>
      <c r="E72" s="30" t="s">
        <v>73</v>
      </c>
    </row>
    <row r="73" spans="1:5">
      <c r="A73" s="31" t="s">
        <v>171</v>
      </c>
      <c r="B73" s="31" t="s">
        <v>71</v>
      </c>
      <c r="C73" s="29" t="s">
        <v>196</v>
      </c>
      <c r="D73" s="29" t="s">
        <v>203</v>
      </c>
      <c r="E73" s="30" t="s">
        <v>73</v>
      </c>
    </row>
    <row r="74" spans="1:5">
      <c r="A74" s="31" t="s">
        <v>171</v>
      </c>
      <c r="B74" s="31" t="s">
        <v>71</v>
      </c>
      <c r="C74" s="29" t="s">
        <v>199</v>
      </c>
      <c r="D74" s="30" t="s">
        <v>73</v>
      </c>
      <c r="E74" s="30" t="s">
        <v>167</v>
      </c>
    </row>
    <row r="75" spans="1:5">
      <c r="A75" s="31" t="s">
        <v>171</v>
      </c>
      <c r="B75" s="31" t="s">
        <v>71</v>
      </c>
      <c r="C75" s="29" t="s">
        <v>200</v>
      </c>
      <c r="D75" s="30" t="s">
        <v>67</v>
      </c>
      <c r="E75" s="30" t="s">
        <v>99</v>
      </c>
    </row>
    <row r="76" spans="1:5">
      <c r="A76" s="31" t="s">
        <v>82</v>
      </c>
      <c r="B76" s="31" t="s">
        <v>71</v>
      </c>
      <c r="C76" s="29" t="s">
        <v>179</v>
      </c>
      <c r="D76" s="30" t="s">
        <v>148</v>
      </c>
      <c r="E76" s="30" t="s">
        <v>181</v>
      </c>
    </row>
    <row r="77" spans="1:5">
      <c r="A77" s="31" t="s">
        <v>82</v>
      </c>
      <c r="B77" s="31" t="s">
        <v>71</v>
      </c>
      <c r="C77" s="29" t="s">
        <v>182</v>
      </c>
      <c r="D77" s="30" t="s">
        <v>135</v>
      </c>
      <c r="E77" s="30" t="s">
        <v>204</v>
      </c>
    </row>
    <row r="78" spans="1:5">
      <c r="A78" s="31" t="s">
        <v>82</v>
      </c>
      <c r="B78" s="31" t="s">
        <v>71</v>
      </c>
      <c r="C78" s="29" t="s">
        <v>184</v>
      </c>
      <c r="D78" s="30" t="s">
        <v>73</v>
      </c>
      <c r="E78" s="30" t="s">
        <v>73</v>
      </c>
    </row>
    <row r="79" spans="1:5">
      <c r="A79" s="31" t="s">
        <v>82</v>
      </c>
      <c r="B79" s="31" t="s">
        <v>71</v>
      </c>
      <c r="C79" s="29" t="s">
        <v>186</v>
      </c>
      <c r="D79" s="30" t="s">
        <v>139</v>
      </c>
      <c r="E79" s="30" t="s">
        <v>54</v>
      </c>
    </row>
    <row r="80" spans="1:5">
      <c r="A80" s="31" t="s">
        <v>82</v>
      </c>
      <c r="B80" s="31" t="s">
        <v>71</v>
      </c>
      <c r="C80" s="29" t="s">
        <v>187</v>
      </c>
      <c r="D80" s="30" t="s">
        <v>73</v>
      </c>
      <c r="E80" s="30" t="s">
        <v>73</v>
      </c>
    </row>
    <row r="81" spans="1:5">
      <c r="A81" s="31" t="s">
        <v>82</v>
      </c>
      <c r="B81" s="31" t="s">
        <v>71</v>
      </c>
      <c r="C81" s="29" t="s">
        <v>188</v>
      </c>
      <c r="D81" s="30" t="s">
        <v>67</v>
      </c>
      <c r="E81" s="30" t="s">
        <v>205</v>
      </c>
    </row>
    <row r="82" spans="1:5">
      <c r="A82" s="31" t="s">
        <v>82</v>
      </c>
      <c r="B82" s="31" t="s">
        <v>71</v>
      </c>
      <c r="C82" s="29" t="s">
        <v>189</v>
      </c>
      <c r="D82" s="30" t="s">
        <v>168</v>
      </c>
      <c r="E82" s="30" t="s">
        <v>174</v>
      </c>
    </row>
    <row r="83" spans="1:5">
      <c r="A83" s="31" t="s">
        <v>82</v>
      </c>
      <c r="B83" s="31" t="s">
        <v>71</v>
      </c>
      <c r="C83" s="29" t="s">
        <v>190</v>
      </c>
      <c r="D83" s="30" t="s">
        <v>130</v>
      </c>
      <c r="E83" s="30" t="s">
        <v>191</v>
      </c>
    </row>
    <row r="84" spans="1:5">
      <c r="A84" s="31" t="s">
        <v>82</v>
      </c>
      <c r="B84" s="31" t="s">
        <v>71</v>
      </c>
      <c r="C84" s="29" t="s">
        <v>192</v>
      </c>
      <c r="D84" s="30" t="s">
        <v>73</v>
      </c>
      <c r="E84" s="30" t="s">
        <v>73</v>
      </c>
    </row>
    <row r="85" spans="1:5">
      <c r="A85" s="31" t="s">
        <v>82</v>
      </c>
      <c r="B85" s="31" t="s">
        <v>71</v>
      </c>
      <c r="C85" s="29" t="s">
        <v>193</v>
      </c>
      <c r="D85" s="30" t="s">
        <v>73</v>
      </c>
      <c r="E85" s="30" t="s">
        <v>73</v>
      </c>
    </row>
    <row r="86" spans="1:5">
      <c r="A86" s="31" t="s">
        <v>82</v>
      </c>
      <c r="B86" s="31" t="s">
        <v>71</v>
      </c>
      <c r="C86" s="29" t="s">
        <v>194</v>
      </c>
      <c r="D86" s="30" t="s">
        <v>73</v>
      </c>
      <c r="E86" s="30" t="s">
        <v>73</v>
      </c>
    </row>
    <row r="87" spans="1:5">
      <c r="A87" s="31" t="s">
        <v>82</v>
      </c>
      <c r="B87" s="31" t="s">
        <v>71</v>
      </c>
      <c r="C87" s="29" t="s">
        <v>195</v>
      </c>
      <c r="D87" s="30" t="s">
        <v>73</v>
      </c>
      <c r="E87" s="30" t="s">
        <v>73</v>
      </c>
    </row>
    <row r="88" spans="1:5">
      <c r="A88" s="31" t="s">
        <v>82</v>
      </c>
      <c r="B88" s="31" t="s">
        <v>71</v>
      </c>
      <c r="C88" s="29" t="s">
        <v>196</v>
      </c>
      <c r="D88" s="29" t="s">
        <v>197</v>
      </c>
      <c r="E88" s="30" t="s">
        <v>198</v>
      </c>
    </row>
    <row r="89" spans="1:5">
      <c r="A89" s="31" t="s">
        <v>82</v>
      </c>
      <c r="B89" s="31" t="s">
        <v>71</v>
      </c>
      <c r="C89" s="29" t="s">
        <v>199</v>
      </c>
      <c r="D89" s="30" t="s">
        <v>135</v>
      </c>
      <c r="E89" s="30" t="s">
        <v>136</v>
      </c>
    </row>
    <row r="90" spans="1:5">
      <c r="A90" s="31" t="s">
        <v>82</v>
      </c>
      <c r="B90" s="31" t="s">
        <v>71</v>
      </c>
      <c r="C90" s="29" t="s">
        <v>200</v>
      </c>
      <c r="D90" s="30" t="s">
        <v>79</v>
      </c>
      <c r="E90" s="30" t="s">
        <v>206</v>
      </c>
    </row>
    <row r="91" spans="1:5">
      <c r="A91" s="31" t="s">
        <v>110</v>
      </c>
      <c r="B91" s="31" t="s">
        <v>71</v>
      </c>
      <c r="C91" s="29" t="s">
        <v>179</v>
      </c>
      <c r="D91" s="30" t="s">
        <v>73</v>
      </c>
      <c r="E91" s="30" t="s">
        <v>73</v>
      </c>
    </row>
    <row r="92" spans="1:5">
      <c r="A92" s="31" t="s">
        <v>110</v>
      </c>
      <c r="B92" s="31" t="s">
        <v>71</v>
      </c>
      <c r="C92" s="29" t="s">
        <v>182</v>
      </c>
      <c r="D92" s="30" t="s">
        <v>73</v>
      </c>
      <c r="E92" s="30" t="s">
        <v>73</v>
      </c>
    </row>
    <row r="93" spans="1:5">
      <c r="A93" s="31" t="s">
        <v>110</v>
      </c>
      <c r="B93" s="31" t="s">
        <v>71</v>
      </c>
      <c r="C93" s="29" t="s">
        <v>184</v>
      </c>
      <c r="D93" s="30" t="s">
        <v>73</v>
      </c>
      <c r="E93" s="30" t="s">
        <v>73</v>
      </c>
    </row>
    <row r="94" spans="1:5">
      <c r="A94" s="31" t="s">
        <v>110</v>
      </c>
      <c r="B94" s="31" t="s">
        <v>71</v>
      </c>
      <c r="C94" s="29" t="s">
        <v>186</v>
      </c>
      <c r="D94" s="30" t="s">
        <v>73</v>
      </c>
      <c r="E94" s="30" t="s">
        <v>73</v>
      </c>
    </row>
    <row r="95" spans="1:5">
      <c r="A95" s="31" t="s">
        <v>110</v>
      </c>
      <c r="B95" s="31" t="s">
        <v>71</v>
      </c>
      <c r="C95" s="29" t="s">
        <v>187</v>
      </c>
      <c r="D95" s="30" t="s">
        <v>73</v>
      </c>
      <c r="E95" s="30" t="s">
        <v>73</v>
      </c>
    </row>
    <row r="96" spans="1:5">
      <c r="A96" s="31" t="s">
        <v>110</v>
      </c>
      <c r="B96" s="31" t="s">
        <v>71</v>
      </c>
      <c r="C96" s="29" t="s">
        <v>188</v>
      </c>
      <c r="D96" s="30" t="s">
        <v>73</v>
      </c>
      <c r="E96" s="30" t="s">
        <v>73</v>
      </c>
    </row>
    <row r="97" spans="1:5">
      <c r="A97" s="31" t="s">
        <v>110</v>
      </c>
      <c r="B97" s="31" t="s">
        <v>71</v>
      </c>
      <c r="C97" s="29" t="s">
        <v>189</v>
      </c>
      <c r="D97" s="30" t="s">
        <v>73</v>
      </c>
      <c r="E97" s="30" t="s">
        <v>73</v>
      </c>
    </row>
    <row r="98" spans="1:5">
      <c r="A98" s="31" t="s">
        <v>110</v>
      </c>
      <c r="B98" s="31" t="s">
        <v>71</v>
      </c>
      <c r="C98" s="29" t="s">
        <v>190</v>
      </c>
      <c r="D98" s="30" t="s">
        <v>73</v>
      </c>
      <c r="E98" s="30" t="s">
        <v>73</v>
      </c>
    </row>
    <row r="99" spans="1:5">
      <c r="A99" s="31" t="s">
        <v>110</v>
      </c>
      <c r="B99" s="31" t="s">
        <v>71</v>
      </c>
      <c r="C99" s="29" t="s">
        <v>192</v>
      </c>
      <c r="D99" s="30" t="s">
        <v>73</v>
      </c>
      <c r="E99" s="30" t="s">
        <v>73</v>
      </c>
    </row>
    <row r="100" spans="1:5">
      <c r="A100" s="31" t="s">
        <v>110</v>
      </c>
      <c r="B100" s="31" t="s">
        <v>71</v>
      </c>
      <c r="C100" s="29" t="s">
        <v>193</v>
      </c>
      <c r="D100" s="30" t="s">
        <v>73</v>
      </c>
      <c r="E100" s="30" t="s">
        <v>73</v>
      </c>
    </row>
    <row r="101" spans="1:5">
      <c r="A101" s="31" t="s">
        <v>110</v>
      </c>
      <c r="B101" s="31" t="s">
        <v>71</v>
      </c>
      <c r="C101" s="29" t="s">
        <v>194</v>
      </c>
      <c r="D101" s="30" t="s">
        <v>73</v>
      </c>
      <c r="E101" s="30" t="s">
        <v>73</v>
      </c>
    </row>
    <row r="102" spans="1:5">
      <c r="A102" s="31" t="s">
        <v>110</v>
      </c>
      <c r="B102" s="31" t="s">
        <v>71</v>
      </c>
      <c r="C102" s="29" t="s">
        <v>195</v>
      </c>
      <c r="D102" s="30" t="s">
        <v>73</v>
      </c>
      <c r="E102" s="30" t="s">
        <v>73</v>
      </c>
    </row>
    <row r="103" spans="1:5">
      <c r="A103" s="31" t="s">
        <v>110</v>
      </c>
      <c r="B103" s="31" t="s">
        <v>71</v>
      </c>
      <c r="C103" s="29" t="s">
        <v>196</v>
      </c>
      <c r="D103" s="30" t="s">
        <v>73</v>
      </c>
      <c r="E103" s="30" t="s">
        <v>73</v>
      </c>
    </row>
    <row r="104" spans="1:5">
      <c r="A104" s="31" t="s">
        <v>110</v>
      </c>
      <c r="B104" s="31" t="s">
        <v>71</v>
      </c>
      <c r="C104" s="29" t="s">
        <v>199</v>
      </c>
      <c r="D104" s="30" t="s">
        <v>73</v>
      </c>
      <c r="E104" s="30" t="s">
        <v>73</v>
      </c>
    </row>
    <row r="105" spans="1:5">
      <c r="A105" s="31" t="s">
        <v>110</v>
      </c>
      <c r="B105" s="31" t="s">
        <v>71</v>
      </c>
      <c r="C105" s="29" t="s">
        <v>200</v>
      </c>
      <c r="D105" s="30" t="s">
        <v>73</v>
      </c>
      <c r="E105" s="30" t="s">
        <v>73</v>
      </c>
    </row>
    <row r="106" spans="1:5">
      <c r="A106" s="31" t="s">
        <v>144</v>
      </c>
      <c r="B106" s="31" t="s">
        <v>71</v>
      </c>
      <c r="C106" s="29" t="s">
        <v>179</v>
      </c>
      <c r="D106" s="30" t="s">
        <v>73</v>
      </c>
      <c r="E106" s="30" t="s">
        <v>73</v>
      </c>
    </row>
    <row r="107" spans="1:5">
      <c r="A107" s="31" t="s">
        <v>144</v>
      </c>
      <c r="B107" s="31" t="s">
        <v>71</v>
      </c>
      <c r="C107" s="29" t="s">
        <v>182</v>
      </c>
      <c r="D107" s="30" t="s">
        <v>73</v>
      </c>
      <c r="E107" s="30" t="s">
        <v>73</v>
      </c>
    </row>
    <row r="108" spans="1:5">
      <c r="A108" s="31" t="s">
        <v>144</v>
      </c>
      <c r="B108" s="31" t="s">
        <v>71</v>
      </c>
      <c r="C108" s="29" t="s">
        <v>184</v>
      </c>
      <c r="D108" s="30" t="s">
        <v>73</v>
      </c>
      <c r="E108" s="30" t="s">
        <v>73</v>
      </c>
    </row>
    <row r="109" spans="1:5">
      <c r="A109" s="31" t="s">
        <v>144</v>
      </c>
      <c r="B109" s="31" t="s">
        <v>71</v>
      </c>
      <c r="C109" s="29" t="s">
        <v>186</v>
      </c>
      <c r="D109" s="30" t="s">
        <v>73</v>
      </c>
      <c r="E109" s="30" t="s">
        <v>73</v>
      </c>
    </row>
    <row r="110" spans="1:5">
      <c r="A110" s="31" t="s">
        <v>144</v>
      </c>
      <c r="B110" s="31" t="s">
        <v>71</v>
      </c>
      <c r="C110" s="29" t="s">
        <v>187</v>
      </c>
      <c r="D110" s="30" t="s">
        <v>73</v>
      </c>
      <c r="E110" s="30" t="s">
        <v>73</v>
      </c>
    </row>
    <row r="111" spans="1:5">
      <c r="A111" s="31" t="s">
        <v>144</v>
      </c>
      <c r="B111" s="31" t="s">
        <v>71</v>
      </c>
      <c r="C111" s="29" t="s">
        <v>188</v>
      </c>
      <c r="D111" s="30" t="s">
        <v>73</v>
      </c>
      <c r="E111" s="30" t="s">
        <v>73</v>
      </c>
    </row>
    <row r="112" spans="1:5">
      <c r="A112" s="31" t="s">
        <v>144</v>
      </c>
      <c r="B112" s="31" t="s">
        <v>71</v>
      </c>
      <c r="C112" s="29" t="s">
        <v>189</v>
      </c>
      <c r="D112" s="30" t="s">
        <v>73</v>
      </c>
      <c r="E112" s="30" t="s">
        <v>73</v>
      </c>
    </row>
    <row r="113" spans="1:5">
      <c r="A113" s="31" t="s">
        <v>144</v>
      </c>
      <c r="B113" s="31" t="s">
        <v>71</v>
      </c>
      <c r="C113" s="29" t="s">
        <v>190</v>
      </c>
      <c r="D113" s="30" t="s">
        <v>73</v>
      </c>
      <c r="E113" s="30" t="s">
        <v>73</v>
      </c>
    </row>
    <row r="114" spans="1:5">
      <c r="A114" s="31" t="s">
        <v>144</v>
      </c>
      <c r="B114" s="31" t="s">
        <v>71</v>
      </c>
      <c r="C114" s="29" t="s">
        <v>192</v>
      </c>
      <c r="D114" s="30" t="s">
        <v>73</v>
      </c>
      <c r="E114" s="30" t="s">
        <v>73</v>
      </c>
    </row>
    <row r="115" spans="1:5">
      <c r="A115" s="31" t="s">
        <v>144</v>
      </c>
      <c r="B115" s="31" t="s">
        <v>71</v>
      </c>
      <c r="C115" s="29" t="s">
        <v>193</v>
      </c>
      <c r="D115" s="30" t="s">
        <v>73</v>
      </c>
      <c r="E115" s="30" t="s">
        <v>73</v>
      </c>
    </row>
    <row r="116" spans="1:5">
      <c r="A116" s="31" t="s">
        <v>144</v>
      </c>
      <c r="B116" s="31" t="s">
        <v>71</v>
      </c>
      <c r="C116" s="29" t="s">
        <v>194</v>
      </c>
      <c r="D116" s="30" t="s">
        <v>73</v>
      </c>
      <c r="E116" s="30" t="s">
        <v>73</v>
      </c>
    </row>
    <row r="117" spans="1:5">
      <c r="A117" s="31" t="s">
        <v>144</v>
      </c>
      <c r="B117" s="31" t="s">
        <v>71</v>
      </c>
      <c r="C117" s="29" t="s">
        <v>195</v>
      </c>
      <c r="D117" s="30" t="s">
        <v>73</v>
      </c>
      <c r="E117" s="30" t="s">
        <v>73</v>
      </c>
    </row>
    <row r="118" spans="1:5">
      <c r="A118" s="31" t="s">
        <v>144</v>
      </c>
      <c r="B118" s="31" t="s">
        <v>71</v>
      </c>
      <c r="C118" s="29" t="s">
        <v>196</v>
      </c>
      <c r="D118" s="30" t="s">
        <v>73</v>
      </c>
      <c r="E118" s="30" t="s">
        <v>73</v>
      </c>
    </row>
    <row r="119" spans="1:5">
      <c r="A119" s="31" t="s">
        <v>144</v>
      </c>
      <c r="B119" s="31" t="s">
        <v>71</v>
      </c>
      <c r="C119" s="29" t="s">
        <v>199</v>
      </c>
      <c r="D119" s="30" t="s">
        <v>73</v>
      </c>
      <c r="E119" s="30" t="s">
        <v>73</v>
      </c>
    </row>
    <row r="120" spans="1:5">
      <c r="A120" s="31" t="s">
        <v>144</v>
      </c>
      <c r="B120" s="31" t="s">
        <v>71</v>
      </c>
      <c r="C120" s="29" t="s">
        <v>200</v>
      </c>
      <c r="D120" s="30" t="s">
        <v>73</v>
      </c>
      <c r="E120" s="30" t="s">
        <v>73</v>
      </c>
    </row>
    <row r="121" spans="1:5">
      <c r="A121" s="31" t="s">
        <v>83</v>
      </c>
      <c r="B121" s="31" t="s">
        <v>71</v>
      </c>
      <c r="C121" s="29" t="s">
        <v>179</v>
      </c>
      <c r="D121" s="30" t="s">
        <v>138</v>
      </c>
      <c r="E121" s="30" t="s">
        <v>207</v>
      </c>
    </row>
    <row r="122" spans="1:5">
      <c r="A122" s="31" t="s">
        <v>83</v>
      </c>
      <c r="B122" s="31" t="s">
        <v>71</v>
      </c>
      <c r="C122" s="29" t="s">
        <v>182</v>
      </c>
      <c r="D122" s="30" t="s">
        <v>73</v>
      </c>
      <c r="E122" s="30" t="s">
        <v>73</v>
      </c>
    </row>
    <row r="123" spans="1:5">
      <c r="A123" s="31" t="s">
        <v>83</v>
      </c>
      <c r="B123" s="31" t="s">
        <v>71</v>
      </c>
      <c r="C123" s="29" t="s">
        <v>184</v>
      </c>
      <c r="D123" s="30" t="s">
        <v>175</v>
      </c>
      <c r="E123" s="30" t="s">
        <v>201</v>
      </c>
    </row>
    <row r="124" spans="1:5">
      <c r="A124" s="31" t="s">
        <v>83</v>
      </c>
      <c r="B124" s="31" t="s">
        <v>71</v>
      </c>
      <c r="C124" s="29" t="s">
        <v>186</v>
      </c>
      <c r="D124" s="30" t="s">
        <v>170</v>
      </c>
      <c r="E124" s="30" t="s">
        <v>208</v>
      </c>
    </row>
    <row r="125" spans="1:5">
      <c r="A125" s="31" t="s">
        <v>83</v>
      </c>
      <c r="B125" s="31" t="s">
        <v>71</v>
      </c>
      <c r="C125" s="29" t="s">
        <v>187</v>
      </c>
      <c r="D125" s="30" t="s">
        <v>73</v>
      </c>
      <c r="E125" s="30" t="s">
        <v>73</v>
      </c>
    </row>
    <row r="126" spans="1:5">
      <c r="A126" s="31" t="s">
        <v>83</v>
      </c>
      <c r="B126" s="31" t="s">
        <v>71</v>
      </c>
      <c r="C126" s="29" t="s">
        <v>188</v>
      </c>
      <c r="D126" s="30" t="s">
        <v>73</v>
      </c>
      <c r="E126" s="30" t="s">
        <v>73</v>
      </c>
    </row>
    <row r="127" spans="1:5">
      <c r="A127" s="31" t="s">
        <v>83</v>
      </c>
      <c r="B127" s="31" t="s">
        <v>71</v>
      </c>
      <c r="C127" s="29" t="s">
        <v>189</v>
      </c>
      <c r="D127" s="30" t="s">
        <v>69</v>
      </c>
      <c r="E127" s="30" t="s">
        <v>209</v>
      </c>
    </row>
    <row r="128" spans="1:5">
      <c r="A128" s="31" t="s">
        <v>83</v>
      </c>
      <c r="B128" s="31" t="s">
        <v>71</v>
      </c>
      <c r="C128" s="29" t="s">
        <v>190</v>
      </c>
      <c r="D128" s="30" t="s">
        <v>141</v>
      </c>
      <c r="E128" s="30" t="s">
        <v>210</v>
      </c>
    </row>
    <row r="129" spans="1:5">
      <c r="A129" s="31" t="s">
        <v>83</v>
      </c>
      <c r="B129" s="31" t="s">
        <v>71</v>
      </c>
      <c r="C129" s="29" t="s">
        <v>192</v>
      </c>
      <c r="D129" s="30" t="s">
        <v>73</v>
      </c>
      <c r="E129" s="30" t="s">
        <v>73</v>
      </c>
    </row>
    <row r="130" spans="1:5">
      <c r="A130" s="31" t="s">
        <v>83</v>
      </c>
      <c r="B130" s="31" t="s">
        <v>71</v>
      </c>
      <c r="C130" s="29" t="s">
        <v>193</v>
      </c>
      <c r="D130" s="30" t="s">
        <v>73</v>
      </c>
      <c r="E130" s="30" t="s">
        <v>73</v>
      </c>
    </row>
    <row r="131" spans="1:5">
      <c r="A131" s="31" t="s">
        <v>83</v>
      </c>
      <c r="B131" s="31" t="s">
        <v>71</v>
      </c>
      <c r="C131" s="29" t="s">
        <v>194</v>
      </c>
      <c r="D131" s="30" t="s">
        <v>73</v>
      </c>
      <c r="E131" s="30" t="s">
        <v>73</v>
      </c>
    </row>
    <row r="132" spans="1:5">
      <c r="A132" s="31" t="s">
        <v>83</v>
      </c>
      <c r="B132" s="31" t="s">
        <v>71</v>
      </c>
      <c r="C132" s="29" t="s">
        <v>195</v>
      </c>
      <c r="D132" s="30" t="s">
        <v>73</v>
      </c>
      <c r="E132" s="30" t="s">
        <v>73</v>
      </c>
    </row>
    <row r="133" spans="1:5">
      <c r="A133" s="31" t="s">
        <v>83</v>
      </c>
      <c r="B133" s="31" t="s">
        <v>71</v>
      </c>
      <c r="C133" s="29" t="s">
        <v>196</v>
      </c>
      <c r="D133" s="30" t="s">
        <v>73</v>
      </c>
      <c r="E133" s="30" t="s">
        <v>73</v>
      </c>
    </row>
    <row r="134" spans="1:5">
      <c r="A134" s="31" t="s">
        <v>83</v>
      </c>
      <c r="B134" s="31" t="s">
        <v>71</v>
      </c>
      <c r="C134" s="29" t="s">
        <v>199</v>
      </c>
      <c r="D134" s="30" t="s">
        <v>130</v>
      </c>
      <c r="E134" s="30" t="s">
        <v>173</v>
      </c>
    </row>
    <row r="135" spans="1:5">
      <c r="A135" s="31" t="s">
        <v>83</v>
      </c>
      <c r="B135" s="31" t="s">
        <v>71</v>
      </c>
      <c r="C135" s="29" t="s">
        <v>200</v>
      </c>
      <c r="D135" s="30" t="s">
        <v>68</v>
      </c>
      <c r="E135" s="30" t="s">
        <v>57</v>
      </c>
    </row>
    <row r="136" spans="1:5">
      <c r="A136" s="31" t="s">
        <v>84</v>
      </c>
      <c r="B136" s="31" t="s">
        <v>71</v>
      </c>
      <c r="C136" s="29" t="s">
        <v>179</v>
      </c>
      <c r="D136" s="30" t="s">
        <v>73</v>
      </c>
      <c r="E136" s="30" t="s">
        <v>73</v>
      </c>
    </row>
    <row r="137" spans="1:5">
      <c r="A137" s="31" t="s">
        <v>84</v>
      </c>
      <c r="B137" s="31" t="s">
        <v>71</v>
      </c>
      <c r="C137" s="29" t="s">
        <v>182</v>
      </c>
      <c r="D137" s="30" t="s">
        <v>73</v>
      </c>
      <c r="E137" s="30" t="s">
        <v>211</v>
      </c>
    </row>
    <row r="138" spans="1:5">
      <c r="A138" s="31" t="s">
        <v>84</v>
      </c>
      <c r="B138" s="31" t="s">
        <v>71</v>
      </c>
      <c r="C138" s="29" t="s">
        <v>184</v>
      </c>
      <c r="D138" s="30" t="s">
        <v>73</v>
      </c>
      <c r="E138" s="30" t="s">
        <v>73</v>
      </c>
    </row>
    <row r="139" spans="1:5">
      <c r="A139" s="31" t="s">
        <v>84</v>
      </c>
      <c r="B139" s="31" t="s">
        <v>71</v>
      </c>
      <c r="C139" s="29" t="s">
        <v>186</v>
      </c>
      <c r="D139" s="30" t="s">
        <v>73</v>
      </c>
      <c r="E139" s="30" t="s">
        <v>73</v>
      </c>
    </row>
    <row r="140" spans="1:5">
      <c r="A140" s="31" t="s">
        <v>84</v>
      </c>
      <c r="B140" s="31" t="s">
        <v>71</v>
      </c>
      <c r="C140" s="29" t="s">
        <v>187</v>
      </c>
      <c r="D140" s="30" t="s">
        <v>73</v>
      </c>
      <c r="E140" s="30" t="s">
        <v>73</v>
      </c>
    </row>
    <row r="141" spans="1:5">
      <c r="A141" s="31" t="s">
        <v>84</v>
      </c>
      <c r="B141" s="31" t="s">
        <v>71</v>
      </c>
      <c r="C141" s="29" t="s">
        <v>188</v>
      </c>
      <c r="D141" s="30" t="s">
        <v>73</v>
      </c>
      <c r="E141" s="30" t="s">
        <v>73</v>
      </c>
    </row>
    <row r="142" spans="1:5">
      <c r="A142" s="31" t="s">
        <v>84</v>
      </c>
      <c r="B142" s="31" t="s">
        <v>71</v>
      </c>
      <c r="C142" s="29" t="s">
        <v>189</v>
      </c>
      <c r="D142" s="30" t="s">
        <v>73</v>
      </c>
      <c r="E142" s="30" t="s">
        <v>174</v>
      </c>
    </row>
    <row r="143" spans="1:5">
      <c r="A143" s="31" t="s">
        <v>84</v>
      </c>
      <c r="B143" s="31" t="s">
        <v>71</v>
      </c>
      <c r="C143" s="29" t="s">
        <v>190</v>
      </c>
      <c r="D143" s="30" t="s">
        <v>73</v>
      </c>
      <c r="E143" s="30" t="s">
        <v>191</v>
      </c>
    </row>
    <row r="144" spans="1:5">
      <c r="A144" s="31" t="s">
        <v>84</v>
      </c>
      <c r="B144" s="31" t="s">
        <v>71</v>
      </c>
      <c r="C144" s="29" t="s">
        <v>192</v>
      </c>
      <c r="D144" s="30" t="s">
        <v>73</v>
      </c>
      <c r="E144" s="30" t="s">
        <v>73</v>
      </c>
    </row>
    <row r="145" spans="1:5">
      <c r="A145" s="31" t="s">
        <v>84</v>
      </c>
      <c r="B145" s="31" t="s">
        <v>71</v>
      </c>
      <c r="C145" s="29" t="s">
        <v>193</v>
      </c>
      <c r="D145" s="30" t="s">
        <v>73</v>
      </c>
      <c r="E145" s="30" t="s">
        <v>73</v>
      </c>
    </row>
    <row r="146" spans="1:5">
      <c r="A146" s="31" t="s">
        <v>84</v>
      </c>
      <c r="B146" s="31" t="s">
        <v>71</v>
      </c>
      <c r="C146" s="29" t="s">
        <v>194</v>
      </c>
      <c r="D146" s="30" t="s">
        <v>73</v>
      </c>
      <c r="E146" s="30" t="s">
        <v>73</v>
      </c>
    </row>
    <row r="147" spans="1:5">
      <c r="A147" s="31" t="s">
        <v>84</v>
      </c>
      <c r="B147" s="31" t="s">
        <v>71</v>
      </c>
      <c r="C147" s="29" t="s">
        <v>195</v>
      </c>
      <c r="D147" s="30" t="s">
        <v>73</v>
      </c>
      <c r="E147" s="30" t="s">
        <v>73</v>
      </c>
    </row>
    <row r="148" spans="1:5">
      <c r="A148" s="31" t="s">
        <v>84</v>
      </c>
      <c r="B148" s="31" t="s">
        <v>71</v>
      </c>
      <c r="C148" s="29" t="s">
        <v>196</v>
      </c>
      <c r="D148" s="30" t="s">
        <v>73</v>
      </c>
      <c r="E148" s="30" t="s">
        <v>73</v>
      </c>
    </row>
    <row r="149" spans="1:5">
      <c r="A149" s="31" t="s">
        <v>84</v>
      </c>
      <c r="B149" s="31" t="s">
        <v>71</v>
      </c>
      <c r="C149" s="29" t="s">
        <v>199</v>
      </c>
      <c r="D149" s="30" t="s">
        <v>73</v>
      </c>
      <c r="E149" s="30" t="s">
        <v>73</v>
      </c>
    </row>
    <row r="150" spans="1:5">
      <c r="A150" s="31" t="s">
        <v>84</v>
      </c>
      <c r="B150" s="31" t="s">
        <v>71</v>
      </c>
      <c r="C150" s="29" t="s">
        <v>200</v>
      </c>
      <c r="D150" s="30" t="s">
        <v>73</v>
      </c>
      <c r="E150" s="30" t="s">
        <v>73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7"/>
  <sheetViews>
    <sheetView topLeftCell="A16" workbookViewId="0">
      <selection activeCell="B33" sqref="B33"/>
    </sheetView>
  </sheetViews>
  <sheetFormatPr defaultColWidth="13.6640625" defaultRowHeight="14.4"/>
  <cols>
    <col min="1" max="1" width="15.88671875" customWidth="1"/>
    <col min="2" max="2" width="20.218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107</v>
      </c>
      <c r="B2" s="2" t="s">
        <v>19</v>
      </c>
      <c r="C2" s="29" t="s">
        <v>179</v>
      </c>
      <c r="D2" s="30" t="s">
        <v>62</v>
      </c>
      <c r="E2" s="30" t="s">
        <v>57</v>
      </c>
      <c r="F2">
        <v>37.5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300</v>
      </c>
      <c r="K2">
        <f t="shared" ref="K2:K8" si="2">I2*F2*1.2</f>
        <v>135</v>
      </c>
      <c r="L2">
        <f t="shared" ref="L2:L8" si="3">J2+K2</f>
        <v>435</v>
      </c>
    </row>
    <row r="3" spans="1:12">
      <c r="A3" t="s">
        <v>107</v>
      </c>
      <c r="B3" s="2" t="s">
        <v>19</v>
      </c>
      <c r="C3" s="29" t="s">
        <v>182</v>
      </c>
      <c r="D3" s="30" t="s">
        <v>62</v>
      </c>
      <c r="E3" s="30" t="s">
        <v>57</v>
      </c>
      <c r="F3">
        <v>37.5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>
        <f t="shared" si="1"/>
        <v>300</v>
      </c>
      <c r="K3">
        <f t="shared" si="2"/>
        <v>135</v>
      </c>
      <c r="L3">
        <f t="shared" si="3"/>
        <v>435</v>
      </c>
    </row>
    <row r="4" spans="1:12">
      <c r="A4" t="s">
        <v>107</v>
      </c>
      <c r="B4" s="2" t="s">
        <v>19</v>
      </c>
      <c r="C4" s="29" t="s">
        <v>184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3</v>
      </c>
      <c r="J4">
        <f t="shared" si="1"/>
        <v>300</v>
      </c>
      <c r="K4">
        <f t="shared" si="2"/>
        <v>135</v>
      </c>
      <c r="L4">
        <f t="shared" si="3"/>
        <v>435</v>
      </c>
    </row>
    <row r="5" spans="1:12">
      <c r="A5" t="s">
        <v>107</v>
      </c>
      <c r="B5" s="2" t="s">
        <v>19</v>
      </c>
      <c r="C5" s="29" t="s">
        <v>186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107</v>
      </c>
      <c r="B6" s="2" t="s">
        <v>19</v>
      </c>
      <c r="C6" s="29" t="s">
        <v>187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107</v>
      </c>
      <c r="B7" s="2" t="s">
        <v>19</v>
      </c>
      <c r="C7" s="29" t="s">
        <v>188</v>
      </c>
      <c r="D7" s="30" t="s">
        <v>62</v>
      </c>
      <c r="E7" s="30" t="s">
        <v>57</v>
      </c>
      <c r="F7">
        <v>37.5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300</v>
      </c>
      <c r="K7">
        <f t="shared" si="2"/>
        <v>135</v>
      </c>
      <c r="L7">
        <f t="shared" si="3"/>
        <v>435</v>
      </c>
    </row>
    <row r="8" spans="1:12">
      <c r="A8" t="s">
        <v>107</v>
      </c>
      <c r="B8" s="2" t="s">
        <v>19</v>
      </c>
      <c r="C8" s="29" t="s">
        <v>189</v>
      </c>
      <c r="D8" s="30" t="s">
        <v>62</v>
      </c>
      <c r="E8" s="30" t="s">
        <v>57</v>
      </c>
      <c r="F8">
        <v>37.5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300</v>
      </c>
      <c r="K8">
        <f t="shared" si="2"/>
        <v>135</v>
      </c>
      <c r="L8">
        <f t="shared" si="3"/>
        <v>435</v>
      </c>
    </row>
    <row r="9" spans="1:12">
      <c r="A9" t="s">
        <v>107</v>
      </c>
      <c r="B9" s="2" t="s">
        <v>19</v>
      </c>
      <c r="C9" s="29" t="s">
        <v>190</v>
      </c>
      <c r="D9" s="30" t="s">
        <v>62</v>
      </c>
      <c r="E9" s="30" t="s">
        <v>54</v>
      </c>
      <c r="F9">
        <v>37.5</v>
      </c>
      <c r="G9">
        <f t="shared" ref="G9:G16" si="6">(E9-D9)*24</f>
        <v>12.5</v>
      </c>
      <c r="H9">
        <f>MIN(G9,8)</f>
        <v>8</v>
      </c>
      <c r="I9" s="7">
        <f>IF(MAX(G9-8,0) - 1 &lt; 0, 0, MAX(G9-8,0) - 1)</f>
        <v>3.5</v>
      </c>
      <c r="J9">
        <f t="shared" ref="J9:J16" si="7">H9*F9</f>
        <v>300</v>
      </c>
      <c r="K9">
        <f t="shared" ref="K9:K16" si="8">I9*F9*1.2</f>
        <v>157.5</v>
      </c>
      <c r="L9">
        <f t="shared" ref="L9:L16" si="9">J9+K9</f>
        <v>457.5</v>
      </c>
    </row>
    <row r="10" spans="1:12">
      <c r="A10" t="s">
        <v>107</v>
      </c>
      <c r="B10" s="2" t="s">
        <v>19</v>
      </c>
      <c r="C10" s="29" t="s">
        <v>192</v>
      </c>
      <c r="D10" s="30" t="s">
        <v>31</v>
      </c>
      <c r="E10" s="30" t="s">
        <v>31</v>
      </c>
      <c r="F10">
        <v>37.5</v>
      </c>
      <c r="G10">
        <f t="shared" si="6"/>
        <v>0</v>
      </c>
      <c r="H10">
        <f t="shared" ref="H10:H16" si="10">MIN(G10,8)</f>
        <v>0</v>
      </c>
      <c r="I10" s="7">
        <f t="shared" ref="I10:I16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107</v>
      </c>
      <c r="B11" s="2" t="s">
        <v>19</v>
      </c>
      <c r="C11" s="29" t="s">
        <v>193</v>
      </c>
      <c r="D11" s="30" t="s">
        <v>31</v>
      </c>
      <c r="E11" s="30" t="s">
        <v>31</v>
      </c>
      <c r="F11">
        <v>37.5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107</v>
      </c>
      <c r="B12" s="2" t="s">
        <v>19</v>
      </c>
      <c r="C12" s="29" t="s">
        <v>194</v>
      </c>
      <c r="D12" s="30" t="s">
        <v>31</v>
      </c>
      <c r="E12" s="30" t="s">
        <v>31</v>
      </c>
      <c r="F12">
        <v>37.5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107</v>
      </c>
      <c r="B13" s="2" t="s">
        <v>19</v>
      </c>
      <c r="C13" s="29" t="s">
        <v>195</v>
      </c>
      <c r="D13" s="30" t="s">
        <v>31</v>
      </c>
      <c r="E13" s="30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107</v>
      </c>
      <c r="B14" s="2" t="s">
        <v>19</v>
      </c>
      <c r="C14" s="29" t="s">
        <v>196</v>
      </c>
      <c r="D14" s="30" t="s">
        <v>62</v>
      </c>
      <c r="E14" s="30" t="s">
        <v>57</v>
      </c>
      <c r="F14">
        <v>37.5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300</v>
      </c>
      <c r="K14">
        <f t="shared" si="8"/>
        <v>135</v>
      </c>
      <c r="L14">
        <f t="shared" si="9"/>
        <v>435</v>
      </c>
    </row>
    <row r="15" spans="1:12">
      <c r="A15" t="s">
        <v>107</v>
      </c>
      <c r="B15" s="2" t="s">
        <v>19</v>
      </c>
      <c r="C15" s="29" t="s">
        <v>199</v>
      </c>
      <c r="D15" s="30" t="s">
        <v>62</v>
      </c>
      <c r="E15" s="30" t="s">
        <v>57</v>
      </c>
      <c r="F15">
        <v>37.5</v>
      </c>
      <c r="G15">
        <f t="shared" si="6"/>
        <v>12</v>
      </c>
      <c r="H15">
        <f t="shared" si="10"/>
        <v>8</v>
      </c>
      <c r="I15" s="7">
        <f t="shared" si="11"/>
        <v>3</v>
      </c>
      <c r="J15">
        <f t="shared" si="7"/>
        <v>300</v>
      </c>
      <c r="K15">
        <f t="shared" si="8"/>
        <v>135</v>
      </c>
      <c r="L15">
        <f t="shared" si="9"/>
        <v>435</v>
      </c>
    </row>
    <row r="16" spans="1:12">
      <c r="A16" t="s">
        <v>107</v>
      </c>
      <c r="B16" s="2" t="s">
        <v>19</v>
      </c>
      <c r="C16" s="29" t="s">
        <v>200</v>
      </c>
      <c r="D16" s="30" t="s">
        <v>62</v>
      </c>
      <c r="E16" s="30" t="s">
        <v>57</v>
      </c>
      <c r="F16">
        <v>37.5</v>
      </c>
      <c r="G16">
        <f t="shared" si="6"/>
        <v>12</v>
      </c>
      <c r="H16">
        <f t="shared" si="10"/>
        <v>8</v>
      </c>
      <c r="I16" s="7">
        <f t="shared" si="11"/>
        <v>3</v>
      </c>
      <c r="J16">
        <f t="shared" si="7"/>
        <v>300</v>
      </c>
      <c r="K16">
        <f t="shared" si="8"/>
        <v>135</v>
      </c>
      <c r="L16">
        <f t="shared" si="9"/>
        <v>435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107</v>
      </c>
      <c r="B22" s="8">
        <f>SUM(J2:J20)</f>
        <v>2700</v>
      </c>
      <c r="C22" s="8">
        <f>SUM(K2:K20)</f>
        <v>1237.5</v>
      </c>
      <c r="D22" s="8">
        <f>SUM(L2:L20)</f>
        <v>3937.5</v>
      </c>
    </row>
    <row r="29" spans="1:4" ht="21.6" customHeight="1"/>
    <row r="30" spans="1:4" ht="17.399999999999999">
      <c r="A30" s="34" t="s">
        <v>39</v>
      </c>
      <c r="B30" s="34"/>
      <c r="C30" s="15"/>
      <c r="D30" s="9"/>
    </row>
    <row r="31" spans="1:4">
      <c r="A31" s="10" t="s">
        <v>40</v>
      </c>
      <c r="B31" s="11" t="str">
        <f>A2</f>
        <v>Micky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C16+5</f>
        <v>46193</v>
      </c>
      <c r="C33" s="16"/>
    </row>
    <row r="34" spans="1:3">
      <c r="A34" s="10" t="s">
        <v>50</v>
      </c>
      <c r="B34" s="10" t="str">
        <f>Kent!B34</f>
        <v>Jun-1 to Jun-15, 2026</v>
      </c>
      <c r="C34" s="16"/>
    </row>
    <row r="35" spans="1:3">
      <c r="A35" s="10" t="s">
        <v>63</v>
      </c>
      <c r="B35" s="10">
        <f>COUNTIF(D2:D16, "*:*")</f>
        <v>9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2700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1237.5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3937.5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3937.5</v>
      </c>
      <c r="C47" s="16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7"/>
  <sheetViews>
    <sheetView topLeftCell="A16" workbookViewId="0">
      <selection activeCell="B45" sqref="B45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94</v>
      </c>
      <c r="B2" s="2" t="s">
        <v>18</v>
      </c>
      <c r="C2" s="29" t="s">
        <v>179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94</v>
      </c>
      <c r="B3" s="2" t="s">
        <v>18</v>
      </c>
      <c r="C3" s="29" t="s">
        <v>182</v>
      </c>
      <c r="D3" s="30" t="s">
        <v>62</v>
      </c>
      <c r="E3" s="30" t="s">
        <v>57</v>
      </c>
      <c r="F3">
        <v>43.75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 s="7">
        <f t="shared" si="1"/>
        <v>350</v>
      </c>
      <c r="K3" s="7">
        <f t="shared" si="2"/>
        <v>157.5</v>
      </c>
      <c r="L3" s="7">
        <f t="shared" si="3"/>
        <v>507.5</v>
      </c>
    </row>
    <row r="4" spans="1:12">
      <c r="A4" t="s">
        <v>94</v>
      </c>
      <c r="B4" s="2" t="s">
        <v>18</v>
      </c>
      <c r="C4" s="29" t="s">
        <v>184</v>
      </c>
      <c r="D4" s="30" t="s">
        <v>62</v>
      </c>
      <c r="E4" s="30" t="s">
        <v>57</v>
      </c>
      <c r="F4">
        <v>43.75</v>
      </c>
      <c r="G4">
        <f t="shared" si="0"/>
        <v>12</v>
      </c>
      <c r="H4">
        <f t="shared" si="4"/>
        <v>8</v>
      </c>
      <c r="I4" s="7">
        <f t="shared" si="5"/>
        <v>3</v>
      </c>
      <c r="J4" s="7">
        <f t="shared" si="1"/>
        <v>350</v>
      </c>
      <c r="K4" s="7">
        <f t="shared" si="2"/>
        <v>157.5</v>
      </c>
      <c r="L4" s="7">
        <f t="shared" si="3"/>
        <v>507.5</v>
      </c>
    </row>
    <row r="5" spans="1:12">
      <c r="A5" t="s">
        <v>94</v>
      </c>
      <c r="B5" s="2" t="s">
        <v>18</v>
      </c>
      <c r="C5" s="29" t="s">
        <v>186</v>
      </c>
      <c r="D5" s="30" t="s">
        <v>62</v>
      </c>
      <c r="E5" s="30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 s="7">
        <f t="shared" si="1"/>
        <v>350</v>
      </c>
      <c r="K5" s="7">
        <f t="shared" si="2"/>
        <v>157.5</v>
      </c>
      <c r="L5" s="7">
        <f t="shared" si="3"/>
        <v>507.5</v>
      </c>
    </row>
    <row r="6" spans="1:12">
      <c r="A6" t="s">
        <v>94</v>
      </c>
      <c r="B6" s="2" t="s">
        <v>18</v>
      </c>
      <c r="C6" s="29" t="s">
        <v>187</v>
      </c>
      <c r="D6" s="30" t="s">
        <v>31</v>
      </c>
      <c r="E6" s="30" t="s">
        <v>31</v>
      </c>
      <c r="F6">
        <v>43.75</v>
      </c>
      <c r="G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94</v>
      </c>
      <c r="B7" s="2" t="s">
        <v>18</v>
      </c>
      <c r="C7" s="29" t="s">
        <v>188</v>
      </c>
      <c r="D7" s="30" t="s">
        <v>62</v>
      </c>
      <c r="E7" s="30" t="s">
        <v>57</v>
      </c>
      <c r="F7">
        <v>43.75</v>
      </c>
      <c r="G7">
        <f t="shared" si="0"/>
        <v>12</v>
      </c>
      <c r="H7">
        <f t="shared" si="4"/>
        <v>8</v>
      </c>
      <c r="I7" s="7">
        <f t="shared" si="5"/>
        <v>3</v>
      </c>
      <c r="J7" s="7">
        <f t="shared" si="1"/>
        <v>350</v>
      </c>
      <c r="K7" s="7">
        <f t="shared" si="2"/>
        <v>157.5</v>
      </c>
      <c r="L7" s="7">
        <f t="shared" si="3"/>
        <v>507.5</v>
      </c>
    </row>
    <row r="8" spans="1:12">
      <c r="A8" t="s">
        <v>94</v>
      </c>
      <c r="B8" s="2" t="s">
        <v>18</v>
      </c>
      <c r="C8" s="29" t="s">
        <v>189</v>
      </c>
      <c r="D8" s="30" t="s">
        <v>62</v>
      </c>
      <c r="E8" s="30" t="s">
        <v>57</v>
      </c>
      <c r="F8">
        <v>43.75</v>
      </c>
      <c r="G8">
        <f t="shared" si="0"/>
        <v>12</v>
      </c>
      <c r="H8">
        <f t="shared" si="4"/>
        <v>8</v>
      </c>
      <c r="I8" s="7">
        <f t="shared" si="5"/>
        <v>3</v>
      </c>
      <c r="J8" s="7">
        <f t="shared" si="1"/>
        <v>350</v>
      </c>
      <c r="K8" s="7">
        <f t="shared" si="2"/>
        <v>157.5</v>
      </c>
      <c r="L8" s="7">
        <f t="shared" si="3"/>
        <v>507.5</v>
      </c>
    </row>
    <row r="9" spans="1:12">
      <c r="A9" t="s">
        <v>94</v>
      </c>
      <c r="B9" s="2" t="s">
        <v>18</v>
      </c>
      <c r="C9" s="29" t="s">
        <v>190</v>
      </c>
      <c r="D9" s="30" t="s">
        <v>31</v>
      </c>
      <c r="E9" s="30" t="s">
        <v>31</v>
      </c>
      <c r="F9">
        <v>43.75</v>
      </c>
      <c r="G9">
        <f t="shared" ref="G9:G15" si="6">(E9-D9)*24</f>
        <v>0</v>
      </c>
      <c r="H9">
        <f>MIN(G9,8)</f>
        <v>0</v>
      </c>
      <c r="I9" s="7">
        <f>IF(MAX(G9-8,0) - 1 &lt; 0, 0, MAX(G9-8,0) - 1)</f>
        <v>0</v>
      </c>
      <c r="J9" s="7">
        <f t="shared" ref="J9:J15" si="7">H9*F9</f>
        <v>0</v>
      </c>
      <c r="K9" s="7">
        <f t="shared" ref="K9:K15" si="8">I9*F9*1.2</f>
        <v>0</v>
      </c>
      <c r="L9" s="7">
        <f t="shared" ref="L9:L15" si="9">J9+K9</f>
        <v>0</v>
      </c>
    </row>
    <row r="10" spans="1:12">
      <c r="A10" t="s">
        <v>94</v>
      </c>
      <c r="B10" s="2" t="s">
        <v>18</v>
      </c>
      <c r="C10" s="29" t="s">
        <v>192</v>
      </c>
      <c r="D10" s="30" t="s">
        <v>31</v>
      </c>
      <c r="E10" s="30" t="s">
        <v>31</v>
      </c>
      <c r="F10">
        <v>43.75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 s="7">
        <f t="shared" si="7"/>
        <v>0</v>
      </c>
      <c r="K10" s="7">
        <f t="shared" si="8"/>
        <v>0</v>
      </c>
      <c r="L10" s="7">
        <f t="shared" si="9"/>
        <v>0</v>
      </c>
    </row>
    <row r="11" spans="1:12">
      <c r="A11" t="s">
        <v>94</v>
      </c>
      <c r="B11" s="2" t="s">
        <v>18</v>
      </c>
      <c r="C11" s="29" t="s">
        <v>193</v>
      </c>
      <c r="D11" s="30" t="s">
        <v>31</v>
      </c>
      <c r="E11" s="30" t="s">
        <v>31</v>
      </c>
      <c r="F11">
        <v>43.75</v>
      </c>
      <c r="G11">
        <f t="shared" si="6"/>
        <v>0</v>
      </c>
      <c r="H11">
        <f t="shared" si="10"/>
        <v>0</v>
      </c>
      <c r="I11" s="7">
        <f t="shared" si="11"/>
        <v>0</v>
      </c>
      <c r="J11" s="7">
        <f t="shared" si="7"/>
        <v>0</v>
      </c>
      <c r="K11" s="7">
        <f t="shared" si="8"/>
        <v>0</v>
      </c>
      <c r="L11" s="7">
        <f t="shared" si="9"/>
        <v>0</v>
      </c>
    </row>
    <row r="12" spans="1:12">
      <c r="A12" t="s">
        <v>94</v>
      </c>
      <c r="B12" s="2" t="s">
        <v>18</v>
      </c>
      <c r="C12" s="29" t="s">
        <v>194</v>
      </c>
      <c r="D12" s="30" t="s">
        <v>31</v>
      </c>
      <c r="E12" s="30" t="s">
        <v>31</v>
      </c>
      <c r="F12">
        <v>43.75</v>
      </c>
      <c r="G12">
        <f t="shared" si="6"/>
        <v>0</v>
      </c>
      <c r="H12">
        <f t="shared" si="10"/>
        <v>0</v>
      </c>
      <c r="I12" s="7">
        <f t="shared" si="11"/>
        <v>0</v>
      </c>
      <c r="J12" s="7">
        <f t="shared" si="7"/>
        <v>0</v>
      </c>
      <c r="K12" s="7">
        <f t="shared" si="8"/>
        <v>0</v>
      </c>
      <c r="L12" s="7">
        <f t="shared" si="9"/>
        <v>0</v>
      </c>
    </row>
    <row r="13" spans="1:12">
      <c r="A13" t="s">
        <v>94</v>
      </c>
      <c r="B13" s="2" t="s">
        <v>18</v>
      </c>
      <c r="C13" s="29" t="s">
        <v>195</v>
      </c>
      <c r="D13" s="30" t="s">
        <v>31</v>
      </c>
      <c r="E13" s="30" t="s">
        <v>31</v>
      </c>
      <c r="F13">
        <v>43.75</v>
      </c>
      <c r="G13">
        <f t="shared" si="6"/>
        <v>0</v>
      </c>
      <c r="H13">
        <f t="shared" si="10"/>
        <v>0</v>
      </c>
      <c r="I13" s="7">
        <f t="shared" si="11"/>
        <v>0</v>
      </c>
      <c r="J13" s="7">
        <f t="shared" si="7"/>
        <v>0</v>
      </c>
      <c r="K13" s="7">
        <f t="shared" si="8"/>
        <v>0</v>
      </c>
      <c r="L13" s="7">
        <f t="shared" si="9"/>
        <v>0</v>
      </c>
    </row>
    <row r="14" spans="1:12">
      <c r="A14" t="s">
        <v>94</v>
      </c>
      <c r="B14" s="2" t="s">
        <v>18</v>
      </c>
      <c r="C14" s="29" t="s">
        <v>196</v>
      </c>
      <c r="D14" s="30" t="s">
        <v>31</v>
      </c>
      <c r="E14" s="30" t="s">
        <v>31</v>
      </c>
      <c r="F14">
        <v>43.75</v>
      </c>
      <c r="G14">
        <f t="shared" si="6"/>
        <v>0</v>
      </c>
      <c r="H14">
        <f t="shared" si="10"/>
        <v>0</v>
      </c>
      <c r="I14" s="7">
        <f t="shared" si="11"/>
        <v>0</v>
      </c>
      <c r="J14" s="7">
        <f t="shared" si="7"/>
        <v>0</v>
      </c>
      <c r="K14" s="7">
        <f t="shared" si="8"/>
        <v>0</v>
      </c>
      <c r="L14" s="7">
        <f t="shared" si="9"/>
        <v>0</v>
      </c>
    </row>
    <row r="15" spans="1:12">
      <c r="A15" t="s">
        <v>94</v>
      </c>
      <c r="B15" s="2" t="s">
        <v>18</v>
      </c>
      <c r="C15" s="29" t="s">
        <v>199</v>
      </c>
      <c r="D15" s="30" t="s">
        <v>31</v>
      </c>
      <c r="E15" s="30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 s="7">
        <f t="shared" si="7"/>
        <v>0</v>
      </c>
      <c r="K15" s="7">
        <f t="shared" si="8"/>
        <v>0</v>
      </c>
      <c r="L15" s="7">
        <f t="shared" si="9"/>
        <v>0</v>
      </c>
    </row>
    <row r="16" spans="1:12">
      <c r="A16" t="s">
        <v>94</v>
      </c>
      <c r="B16" s="2" t="s">
        <v>18</v>
      </c>
      <c r="C16" s="29" t="s">
        <v>200</v>
      </c>
      <c r="D16" s="30" t="s">
        <v>31</v>
      </c>
      <c r="E16" s="30" t="s">
        <v>31</v>
      </c>
      <c r="F16">
        <v>43.75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 s="7">
        <f t="shared" ref="J16" si="15">H16*F16</f>
        <v>0</v>
      </c>
      <c r="K16" s="7">
        <f t="shared" ref="K16" si="16">I16*F16*1.2</f>
        <v>0</v>
      </c>
      <c r="L16" s="7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94</v>
      </c>
      <c r="B22" s="8">
        <f>SUM(J2:J20)</f>
        <v>1750</v>
      </c>
      <c r="C22" s="8">
        <f>SUM(K2:K20)</f>
        <v>787.5</v>
      </c>
      <c r="D22" s="8">
        <f>SUM(L2:L20)</f>
        <v>2537.5</v>
      </c>
    </row>
    <row r="30" spans="1:4" ht="21.6" customHeight="1">
      <c r="A30" s="34" t="s">
        <v>39</v>
      </c>
      <c r="B30" s="34"/>
      <c r="C30" s="15"/>
      <c r="D30" s="9"/>
    </row>
    <row r="31" spans="1:4">
      <c r="A31" s="10" t="s">
        <v>40</v>
      </c>
      <c r="B31" s="11" t="s">
        <v>94</v>
      </c>
      <c r="C31" s="16"/>
    </row>
    <row r="32" spans="1:4">
      <c r="A32" s="10" t="s">
        <v>41</v>
      </c>
      <c r="B32" s="11" t="s">
        <v>96</v>
      </c>
      <c r="C32" s="16"/>
    </row>
    <row r="33" spans="1:3">
      <c r="A33" s="10" t="s">
        <v>42</v>
      </c>
      <c r="B33" s="12">
        <f>C16+5</f>
        <v>46193</v>
      </c>
      <c r="C33" s="16"/>
    </row>
    <row r="34" spans="1:3">
      <c r="A34" s="10" t="s">
        <v>50</v>
      </c>
      <c r="B34" s="10" t="s">
        <v>215</v>
      </c>
      <c r="C34" s="16"/>
    </row>
    <row r="35" spans="1:3">
      <c r="A35" s="10" t="s">
        <v>63</v>
      </c>
      <c r="B35" s="10">
        <f>COUNTIF(D2:D16, "*:*")</f>
        <v>5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1750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787.5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2537.5</v>
      </c>
      <c r="C43" s="16"/>
    </row>
    <row r="44" spans="1:3">
      <c r="A44" s="10" t="s">
        <v>47</v>
      </c>
      <c r="B44" s="14">
        <v>-2108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429.5</v>
      </c>
      <c r="C47" s="16"/>
    </row>
  </sheetData>
  <mergeCells count="1">
    <mergeCell ref="A30:B30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772-C501-406D-84CC-AA6582F153D6}">
  <dimension ref="A1:L48"/>
  <sheetViews>
    <sheetView workbookViewId="0">
      <selection activeCell="B45" sqref="B45"/>
    </sheetView>
  </sheetViews>
  <sheetFormatPr defaultColWidth="13.33203125" defaultRowHeight="14.4"/>
  <cols>
    <col min="1" max="1" width="15.88671875" customWidth="1"/>
    <col min="2" max="2" width="20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212</v>
      </c>
      <c r="B2" s="2" t="s">
        <v>18</v>
      </c>
      <c r="C2" s="29" t="s">
        <v>165</v>
      </c>
      <c r="D2" s="30" t="s">
        <v>62</v>
      </c>
      <c r="E2" s="30" t="s">
        <v>57</v>
      </c>
      <c r="F2">
        <v>25</v>
      </c>
      <c r="G2">
        <f t="shared" ref="G2:G17" si="0">(E2-D2)*24</f>
        <v>12</v>
      </c>
      <c r="H2">
        <f t="shared" ref="H2:H17" si="1">MIN(G2,8)</f>
        <v>8</v>
      </c>
      <c r="I2" s="7">
        <f t="shared" ref="I2:I17" si="2">IF(MAX(G2-8,0) - 1 &lt; 0, 0, MAX(G2-8,0) - 1)</f>
        <v>3</v>
      </c>
      <c r="J2">
        <f t="shared" ref="J2:J17" si="3">H2*F2</f>
        <v>200</v>
      </c>
      <c r="K2">
        <f t="shared" ref="K2:K17" si="4">I2*F2*1.2</f>
        <v>90</v>
      </c>
      <c r="L2">
        <f t="shared" ref="L2:L17" si="5">J2+K2</f>
        <v>290</v>
      </c>
    </row>
    <row r="3" spans="1:12">
      <c r="A3" t="s">
        <v>212</v>
      </c>
      <c r="B3" s="2" t="s">
        <v>18</v>
      </c>
      <c r="C3" s="29" t="s">
        <v>179</v>
      </c>
      <c r="D3" s="30" t="s">
        <v>62</v>
      </c>
      <c r="E3" s="30" t="s">
        <v>57</v>
      </c>
      <c r="F3">
        <v>25</v>
      </c>
      <c r="G3">
        <f t="shared" si="0"/>
        <v>12</v>
      </c>
      <c r="H3">
        <f t="shared" si="1"/>
        <v>8</v>
      </c>
      <c r="I3" s="7">
        <f t="shared" si="2"/>
        <v>3</v>
      </c>
      <c r="J3">
        <f t="shared" si="3"/>
        <v>200</v>
      </c>
      <c r="K3">
        <f t="shared" si="4"/>
        <v>90</v>
      </c>
      <c r="L3">
        <f t="shared" si="5"/>
        <v>290</v>
      </c>
    </row>
    <row r="4" spans="1:12">
      <c r="A4" t="s">
        <v>212</v>
      </c>
      <c r="B4" s="2" t="s">
        <v>18</v>
      </c>
      <c r="C4" s="29" t="s">
        <v>182</v>
      </c>
      <c r="D4" s="30" t="s">
        <v>31</v>
      </c>
      <c r="E4" s="30" t="s">
        <v>31</v>
      </c>
      <c r="F4">
        <v>25</v>
      </c>
      <c r="G4">
        <f t="shared" si="0"/>
        <v>0</v>
      </c>
      <c r="H4">
        <f t="shared" si="1"/>
        <v>0</v>
      </c>
      <c r="I4" s="7">
        <f t="shared" si="2"/>
        <v>0</v>
      </c>
      <c r="J4">
        <f t="shared" si="3"/>
        <v>0</v>
      </c>
      <c r="K4">
        <f t="shared" si="4"/>
        <v>0</v>
      </c>
      <c r="L4">
        <f t="shared" si="5"/>
        <v>0</v>
      </c>
    </row>
    <row r="5" spans="1:12">
      <c r="A5" t="s">
        <v>212</v>
      </c>
      <c r="B5" s="2" t="s">
        <v>18</v>
      </c>
      <c r="C5" s="29" t="s">
        <v>184</v>
      </c>
      <c r="D5" s="30" t="s">
        <v>62</v>
      </c>
      <c r="E5" s="30" t="s">
        <v>57</v>
      </c>
      <c r="F5">
        <v>25</v>
      </c>
      <c r="G5">
        <f t="shared" si="0"/>
        <v>12</v>
      </c>
      <c r="H5">
        <f t="shared" si="1"/>
        <v>8</v>
      </c>
      <c r="I5" s="7">
        <f t="shared" si="2"/>
        <v>3</v>
      </c>
      <c r="J5">
        <f t="shared" si="3"/>
        <v>200</v>
      </c>
      <c r="K5">
        <f t="shared" si="4"/>
        <v>90</v>
      </c>
      <c r="L5">
        <f t="shared" si="5"/>
        <v>290</v>
      </c>
    </row>
    <row r="6" spans="1:12">
      <c r="A6" t="s">
        <v>212</v>
      </c>
      <c r="B6" s="2" t="s">
        <v>18</v>
      </c>
      <c r="C6" s="29" t="s">
        <v>186</v>
      </c>
      <c r="D6" s="30" t="s">
        <v>62</v>
      </c>
      <c r="E6" s="30" t="s">
        <v>57</v>
      </c>
      <c r="F6">
        <v>25</v>
      </c>
      <c r="G6">
        <f t="shared" si="0"/>
        <v>12</v>
      </c>
      <c r="H6">
        <f t="shared" si="1"/>
        <v>8</v>
      </c>
      <c r="I6" s="7">
        <f t="shared" si="2"/>
        <v>3</v>
      </c>
      <c r="J6">
        <f t="shared" si="3"/>
        <v>200</v>
      </c>
      <c r="K6">
        <f t="shared" si="4"/>
        <v>90</v>
      </c>
      <c r="L6">
        <f t="shared" si="5"/>
        <v>290</v>
      </c>
    </row>
    <row r="7" spans="1:12">
      <c r="A7" t="s">
        <v>212</v>
      </c>
      <c r="B7" s="2" t="s">
        <v>18</v>
      </c>
      <c r="C7" s="29" t="s">
        <v>187</v>
      </c>
      <c r="D7" s="30" t="s">
        <v>31</v>
      </c>
      <c r="E7" s="30" t="s">
        <v>31</v>
      </c>
      <c r="F7">
        <v>25</v>
      </c>
      <c r="G7">
        <f t="shared" si="0"/>
        <v>0</v>
      </c>
      <c r="H7">
        <f t="shared" si="1"/>
        <v>0</v>
      </c>
      <c r="I7" s="7">
        <f t="shared" si="2"/>
        <v>0</v>
      </c>
      <c r="J7">
        <f t="shared" si="3"/>
        <v>0</v>
      </c>
      <c r="K7">
        <f t="shared" si="4"/>
        <v>0</v>
      </c>
      <c r="L7">
        <f t="shared" si="5"/>
        <v>0</v>
      </c>
    </row>
    <row r="8" spans="1:12">
      <c r="A8" t="s">
        <v>212</v>
      </c>
      <c r="B8" s="2" t="s">
        <v>18</v>
      </c>
      <c r="C8" s="29" t="s">
        <v>188</v>
      </c>
      <c r="D8" s="30" t="s">
        <v>62</v>
      </c>
      <c r="E8" s="30" t="s">
        <v>57</v>
      </c>
      <c r="F8">
        <v>25</v>
      </c>
      <c r="G8">
        <f t="shared" si="0"/>
        <v>12</v>
      </c>
      <c r="H8">
        <f t="shared" si="1"/>
        <v>8</v>
      </c>
      <c r="I8" s="7">
        <f t="shared" si="2"/>
        <v>3</v>
      </c>
      <c r="J8">
        <f t="shared" si="3"/>
        <v>200</v>
      </c>
      <c r="K8">
        <f t="shared" si="4"/>
        <v>90</v>
      </c>
      <c r="L8">
        <f t="shared" si="5"/>
        <v>290</v>
      </c>
    </row>
    <row r="9" spans="1:12">
      <c r="A9" t="s">
        <v>212</v>
      </c>
      <c r="B9" s="2" t="s">
        <v>18</v>
      </c>
      <c r="C9" s="29" t="s">
        <v>189</v>
      </c>
      <c r="D9" s="30" t="s">
        <v>62</v>
      </c>
      <c r="E9" s="30" t="s">
        <v>57</v>
      </c>
      <c r="F9">
        <v>25</v>
      </c>
      <c r="G9">
        <f t="shared" si="0"/>
        <v>12</v>
      </c>
      <c r="H9">
        <f t="shared" si="1"/>
        <v>8</v>
      </c>
      <c r="I9" s="7">
        <f t="shared" si="2"/>
        <v>3</v>
      </c>
      <c r="J9">
        <f t="shared" si="3"/>
        <v>200</v>
      </c>
      <c r="K9">
        <f t="shared" si="4"/>
        <v>90</v>
      </c>
      <c r="L9">
        <f t="shared" si="5"/>
        <v>290</v>
      </c>
    </row>
    <row r="10" spans="1:12">
      <c r="A10" t="s">
        <v>212</v>
      </c>
      <c r="B10" s="2" t="s">
        <v>18</v>
      </c>
      <c r="C10" s="29" t="s">
        <v>190</v>
      </c>
      <c r="D10" s="30" t="s">
        <v>62</v>
      </c>
      <c r="E10" s="30" t="s">
        <v>54</v>
      </c>
      <c r="F10">
        <v>25</v>
      </c>
      <c r="G10">
        <f t="shared" si="0"/>
        <v>12.5</v>
      </c>
      <c r="H10">
        <f t="shared" si="1"/>
        <v>8</v>
      </c>
      <c r="I10" s="7">
        <f t="shared" si="2"/>
        <v>3.5</v>
      </c>
      <c r="J10">
        <f t="shared" si="3"/>
        <v>200</v>
      </c>
      <c r="K10">
        <f t="shared" si="4"/>
        <v>105</v>
      </c>
      <c r="L10">
        <f t="shared" si="5"/>
        <v>305</v>
      </c>
    </row>
    <row r="11" spans="1:12">
      <c r="A11" t="s">
        <v>212</v>
      </c>
      <c r="B11" s="2" t="s">
        <v>18</v>
      </c>
      <c r="C11" s="29" t="s">
        <v>192</v>
      </c>
      <c r="D11" s="30" t="s">
        <v>31</v>
      </c>
      <c r="E11" s="30" t="s">
        <v>31</v>
      </c>
      <c r="F11">
        <v>25</v>
      </c>
      <c r="G11">
        <f t="shared" si="0"/>
        <v>0</v>
      </c>
      <c r="H11">
        <f t="shared" si="1"/>
        <v>0</v>
      </c>
      <c r="I11" s="7">
        <f t="shared" si="2"/>
        <v>0</v>
      </c>
      <c r="J11">
        <f t="shared" si="3"/>
        <v>0</v>
      </c>
      <c r="K11">
        <f t="shared" si="4"/>
        <v>0</v>
      </c>
      <c r="L11">
        <f t="shared" si="5"/>
        <v>0</v>
      </c>
    </row>
    <row r="12" spans="1:12">
      <c r="A12" t="s">
        <v>212</v>
      </c>
      <c r="B12" s="2" t="s">
        <v>18</v>
      </c>
      <c r="C12" s="29" t="s">
        <v>193</v>
      </c>
      <c r="D12" s="30" t="s">
        <v>31</v>
      </c>
      <c r="E12" s="30" t="s">
        <v>31</v>
      </c>
      <c r="F12">
        <v>25</v>
      </c>
      <c r="G12">
        <f t="shared" si="0"/>
        <v>0</v>
      </c>
      <c r="H12">
        <f t="shared" si="1"/>
        <v>0</v>
      </c>
      <c r="I12" s="7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</row>
    <row r="13" spans="1:12">
      <c r="A13" t="s">
        <v>212</v>
      </c>
      <c r="B13" s="2" t="s">
        <v>18</v>
      </c>
      <c r="C13" s="29" t="s">
        <v>194</v>
      </c>
      <c r="D13" s="30" t="s">
        <v>31</v>
      </c>
      <c r="E13" s="30" t="s">
        <v>31</v>
      </c>
      <c r="F13">
        <v>25</v>
      </c>
      <c r="G13">
        <f t="shared" si="0"/>
        <v>0</v>
      </c>
      <c r="H13">
        <f t="shared" si="1"/>
        <v>0</v>
      </c>
      <c r="I13" s="7">
        <f t="shared" si="2"/>
        <v>0</v>
      </c>
      <c r="J13">
        <f t="shared" si="3"/>
        <v>0</v>
      </c>
      <c r="K13">
        <f t="shared" si="4"/>
        <v>0</v>
      </c>
      <c r="L13">
        <f t="shared" si="5"/>
        <v>0</v>
      </c>
    </row>
    <row r="14" spans="1:12">
      <c r="A14" t="s">
        <v>212</v>
      </c>
      <c r="B14" s="2" t="s">
        <v>18</v>
      </c>
      <c r="C14" s="29" t="s">
        <v>195</v>
      </c>
      <c r="D14" s="30" t="s">
        <v>31</v>
      </c>
      <c r="E14" s="30" t="s">
        <v>31</v>
      </c>
      <c r="F14">
        <v>25</v>
      </c>
      <c r="G14">
        <f t="shared" si="0"/>
        <v>0</v>
      </c>
      <c r="H14">
        <f t="shared" si="1"/>
        <v>0</v>
      </c>
      <c r="I14" s="7">
        <f t="shared" si="2"/>
        <v>0</v>
      </c>
      <c r="J14">
        <f t="shared" si="3"/>
        <v>0</v>
      </c>
      <c r="K14">
        <f t="shared" si="4"/>
        <v>0</v>
      </c>
      <c r="L14">
        <f t="shared" si="5"/>
        <v>0</v>
      </c>
    </row>
    <row r="15" spans="1:12">
      <c r="A15" t="s">
        <v>212</v>
      </c>
      <c r="B15" s="2" t="s">
        <v>18</v>
      </c>
      <c r="C15" s="29" t="s">
        <v>196</v>
      </c>
      <c r="D15" s="30" t="s">
        <v>62</v>
      </c>
      <c r="E15" s="30" t="s">
        <v>57</v>
      </c>
      <c r="F15">
        <v>25</v>
      </c>
      <c r="G15">
        <f t="shared" si="0"/>
        <v>12</v>
      </c>
      <c r="H15">
        <f t="shared" si="1"/>
        <v>8</v>
      </c>
      <c r="I15" s="7">
        <f t="shared" si="2"/>
        <v>3</v>
      </c>
      <c r="J15">
        <f t="shared" si="3"/>
        <v>200</v>
      </c>
      <c r="K15">
        <f t="shared" si="4"/>
        <v>90</v>
      </c>
      <c r="L15">
        <f t="shared" si="5"/>
        <v>290</v>
      </c>
    </row>
    <row r="16" spans="1:12">
      <c r="A16" t="s">
        <v>212</v>
      </c>
      <c r="B16" s="2" t="s">
        <v>18</v>
      </c>
      <c r="C16" s="29" t="s">
        <v>199</v>
      </c>
      <c r="D16" s="30" t="s">
        <v>62</v>
      </c>
      <c r="E16" s="30" t="s">
        <v>57</v>
      </c>
      <c r="F16">
        <v>25</v>
      </c>
      <c r="G16">
        <f t="shared" si="0"/>
        <v>12</v>
      </c>
      <c r="H16">
        <f t="shared" si="1"/>
        <v>8</v>
      </c>
      <c r="I16" s="7">
        <f t="shared" si="2"/>
        <v>3</v>
      </c>
      <c r="J16">
        <f t="shared" si="3"/>
        <v>200</v>
      </c>
      <c r="K16">
        <f t="shared" si="4"/>
        <v>90</v>
      </c>
      <c r="L16">
        <f t="shared" si="5"/>
        <v>290</v>
      </c>
    </row>
    <row r="17" spans="1:12">
      <c r="A17" t="s">
        <v>212</v>
      </c>
      <c r="B17" s="2" t="s">
        <v>18</v>
      </c>
      <c r="C17" s="29" t="s">
        <v>200</v>
      </c>
      <c r="D17" s="30" t="s">
        <v>62</v>
      </c>
      <c r="E17" s="30" t="s">
        <v>57</v>
      </c>
      <c r="F17">
        <v>25</v>
      </c>
      <c r="G17">
        <f t="shared" si="0"/>
        <v>12</v>
      </c>
      <c r="H17">
        <f t="shared" si="1"/>
        <v>8</v>
      </c>
      <c r="I17" s="7">
        <f t="shared" si="2"/>
        <v>3</v>
      </c>
      <c r="J17">
        <f t="shared" si="3"/>
        <v>200</v>
      </c>
      <c r="K17">
        <f t="shared" si="4"/>
        <v>90</v>
      </c>
      <c r="L17">
        <f t="shared" si="5"/>
        <v>290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176</v>
      </c>
      <c r="B23" s="8">
        <f>SUM(J3:J21)</f>
        <v>1800</v>
      </c>
      <c r="C23" s="8">
        <f>SUM(K3:K21)</f>
        <v>825</v>
      </c>
      <c r="D23" s="8">
        <f>SUM(L3:L21)</f>
        <v>2625</v>
      </c>
    </row>
    <row r="31" spans="1:12" ht="21.6" customHeight="1">
      <c r="A31" s="34" t="s">
        <v>39</v>
      </c>
      <c r="B31" s="34"/>
      <c r="C31" s="15"/>
      <c r="D31" s="9"/>
    </row>
    <row r="32" spans="1:12">
      <c r="A32" s="10" t="s">
        <v>40</v>
      </c>
      <c r="B32" s="11" t="str">
        <f>A3</f>
        <v>Renelyn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46193</v>
      </c>
      <c r="C34" s="16"/>
    </row>
    <row r="35" spans="1:3">
      <c r="A35" s="10" t="s">
        <v>50</v>
      </c>
      <c r="B35" s="10" t="s">
        <v>216</v>
      </c>
      <c r="C35" s="16"/>
    </row>
    <row r="36" spans="1:3">
      <c r="A36" s="10" t="s">
        <v>63</v>
      </c>
      <c r="B36" s="10">
        <f>COUNTIF(D3:D17,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1800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825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2625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2625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6"/>
  <sheetViews>
    <sheetView topLeftCell="A10" workbookViewId="0">
      <selection activeCell="B44" sqref="B44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18</v>
      </c>
      <c r="C2" s="29" t="s">
        <v>179</v>
      </c>
      <c r="D2" s="30" t="s">
        <v>62</v>
      </c>
      <c r="E2" s="30" t="s">
        <v>57</v>
      </c>
      <c r="F2">
        <v>46.875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375</v>
      </c>
      <c r="K2">
        <f t="shared" ref="K2:K8" si="2">I2*F2*1.2</f>
        <v>168.75</v>
      </c>
      <c r="L2">
        <f t="shared" ref="L2:L8" si="3">J2+K2</f>
        <v>543.75</v>
      </c>
    </row>
    <row r="3" spans="1:12">
      <c r="A3" t="s">
        <v>15</v>
      </c>
      <c r="B3" s="2" t="s">
        <v>18</v>
      </c>
      <c r="C3" s="29" t="s">
        <v>182</v>
      </c>
      <c r="D3" s="30" t="s">
        <v>62</v>
      </c>
      <c r="E3" s="30" t="s">
        <v>57</v>
      </c>
      <c r="F3">
        <v>46.875</v>
      </c>
      <c r="G3">
        <f t="shared" si="0"/>
        <v>12</v>
      </c>
      <c r="H3">
        <f t="shared" ref="H3:H16" si="4">MIN(G3,8)</f>
        <v>8</v>
      </c>
      <c r="I3" s="7">
        <f t="shared" ref="I3:I16" si="5">IF(MAX(G3-8,0) - 1 &lt; 0, 0, MAX(G3-8,0) - 1)</f>
        <v>3</v>
      </c>
      <c r="J3">
        <f t="shared" si="1"/>
        <v>375</v>
      </c>
      <c r="K3">
        <f t="shared" si="2"/>
        <v>168.75</v>
      </c>
      <c r="L3">
        <f t="shared" si="3"/>
        <v>543.75</v>
      </c>
    </row>
    <row r="4" spans="1:12">
      <c r="A4" t="s">
        <v>15</v>
      </c>
      <c r="B4" s="2" t="s">
        <v>18</v>
      </c>
      <c r="C4" s="29" t="s">
        <v>184</v>
      </c>
      <c r="D4" s="30" t="s">
        <v>31</v>
      </c>
      <c r="E4" s="30" t="s">
        <v>31</v>
      </c>
      <c r="F4">
        <v>46.875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15</v>
      </c>
      <c r="B5" s="2" t="s">
        <v>18</v>
      </c>
      <c r="C5" s="29" t="s">
        <v>186</v>
      </c>
      <c r="D5" s="30" t="s">
        <v>62</v>
      </c>
      <c r="E5" s="30" t="s">
        <v>57</v>
      </c>
      <c r="F5">
        <v>46.875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375</v>
      </c>
      <c r="K5">
        <f t="shared" si="2"/>
        <v>168.75</v>
      </c>
      <c r="L5">
        <f t="shared" si="3"/>
        <v>543.75</v>
      </c>
    </row>
    <row r="6" spans="1:12">
      <c r="A6" t="s">
        <v>15</v>
      </c>
      <c r="B6" s="2" t="s">
        <v>18</v>
      </c>
      <c r="C6" s="29" t="s">
        <v>187</v>
      </c>
      <c r="D6" s="30" t="s">
        <v>31</v>
      </c>
      <c r="E6" s="30" t="s">
        <v>31</v>
      </c>
      <c r="F6">
        <v>46.875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15</v>
      </c>
      <c r="B7" s="2" t="s">
        <v>18</v>
      </c>
      <c r="C7" s="29" t="s">
        <v>188</v>
      </c>
      <c r="D7" s="30" t="s">
        <v>62</v>
      </c>
      <c r="E7" s="30" t="s">
        <v>57</v>
      </c>
      <c r="F7">
        <v>46.875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375</v>
      </c>
      <c r="K7">
        <f t="shared" si="2"/>
        <v>168.75</v>
      </c>
      <c r="L7">
        <f t="shared" si="3"/>
        <v>543.75</v>
      </c>
    </row>
    <row r="8" spans="1:12">
      <c r="A8" t="s">
        <v>15</v>
      </c>
      <c r="B8" s="2" t="s">
        <v>18</v>
      </c>
      <c r="C8" s="29" t="s">
        <v>189</v>
      </c>
      <c r="D8" s="30" t="s">
        <v>62</v>
      </c>
      <c r="E8" s="30" t="s">
        <v>57</v>
      </c>
      <c r="F8">
        <v>46.875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375</v>
      </c>
      <c r="K8">
        <f t="shared" si="2"/>
        <v>168.75</v>
      </c>
      <c r="L8">
        <f t="shared" si="3"/>
        <v>543.75</v>
      </c>
    </row>
    <row r="9" spans="1:12">
      <c r="A9" t="s">
        <v>15</v>
      </c>
      <c r="B9" s="2" t="s">
        <v>18</v>
      </c>
      <c r="C9" s="29" t="s">
        <v>190</v>
      </c>
      <c r="D9" s="30" t="s">
        <v>62</v>
      </c>
      <c r="E9" s="30" t="s">
        <v>54</v>
      </c>
      <c r="F9">
        <v>46.875</v>
      </c>
      <c r="G9">
        <f t="shared" ref="G9:G15" si="6">(E9-D9)*24</f>
        <v>12.5</v>
      </c>
      <c r="H9">
        <f t="shared" si="4"/>
        <v>8</v>
      </c>
      <c r="I9" s="7">
        <f t="shared" si="5"/>
        <v>3.5</v>
      </c>
      <c r="J9">
        <f t="shared" ref="J9:J15" si="7">H9*F9</f>
        <v>375</v>
      </c>
      <c r="K9">
        <f t="shared" ref="K9:K15" si="8">I9*F9*1.2</f>
        <v>196.875</v>
      </c>
      <c r="L9">
        <f t="shared" ref="L9:L15" si="9">J9+K9</f>
        <v>571.875</v>
      </c>
    </row>
    <row r="10" spans="1:12">
      <c r="A10" t="s">
        <v>15</v>
      </c>
      <c r="B10" s="2" t="s">
        <v>18</v>
      </c>
      <c r="C10" s="29" t="s">
        <v>192</v>
      </c>
      <c r="D10" s="30" t="s">
        <v>31</v>
      </c>
      <c r="E10" s="30" t="s">
        <v>31</v>
      </c>
      <c r="F10">
        <v>46.875</v>
      </c>
      <c r="G10">
        <f t="shared" si="6"/>
        <v>0</v>
      </c>
      <c r="H10">
        <f t="shared" si="4"/>
        <v>0</v>
      </c>
      <c r="I10" s="7">
        <f t="shared" si="5"/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15</v>
      </c>
      <c r="B11" s="2" t="s">
        <v>18</v>
      </c>
      <c r="C11" s="29" t="s">
        <v>193</v>
      </c>
      <c r="D11" s="30" t="s">
        <v>31</v>
      </c>
      <c r="E11" s="30" t="s">
        <v>31</v>
      </c>
      <c r="F11">
        <v>46.875</v>
      </c>
      <c r="G11">
        <f t="shared" si="6"/>
        <v>0</v>
      </c>
      <c r="H11">
        <f t="shared" si="4"/>
        <v>0</v>
      </c>
      <c r="I11" s="7">
        <f t="shared" si="5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15</v>
      </c>
      <c r="B12" s="2" t="s">
        <v>18</v>
      </c>
      <c r="C12" s="29" t="s">
        <v>194</v>
      </c>
      <c r="D12" s="30" t="s">
        <v>31</v>
      </c>
      <c r="E12" s="30" t="s">
        <v>31</v>
      </c>
      <c r="F12">
        <v>46.875</v>
      </c>
      <c r="G12">
        <f t="shared" si="6"/>
        <v>0</v>
      </c>
      <c r="H12">
        <f t="shared" si="4"/>
        <v>0</v>
      </c>
      <c r="I12" s="7">
        <f t="shared" si="5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15</v>
      </c>
      <c r="B13" s="2" t="s">
        <v>18</v>
      </c>
      <c r="C13" s="29" t="s">
        <v>195</v>
      </c>
      <c r="D13" s="30" t="s">
        <v>31</v>
      </c>
      <c r="E13" s="30" t="s">
        <v>31</v>
      </c>
      <c r="F13">
        <v>46.875</v>
      </c>
      <c r="G13">
        <f t="shared" si="6"/>
        <v>0</v>
      </c>
      <c r="H13">
        <f t="shared" si="4"/>
        <v>0</v>
      </c>
      <c r="I13" s="7">
        <f t="shared" si="5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15</v>
      </c>
      <c r="B14" s="2" t="s">
        <v>18</v>
      </c>
      <c r="C14" s="29" t="s">
        <v>196</v>
      </c>
      <c r="D14" s="30" t="s">
        <v>62</v>
      </c>
      <c r="E14" s="30" t="s">
        <v>57</v>
      </c>
      <c r="F14">
        <v>46.875</v>
      </c>
      <c r="G14">
        <f t="shared" si="6"/>
        <v>12</v>
      </c>
      <c r="H14">
        <f t="shared" si="4"/>
        <v>8</v>
      </c>
      <c r="I14" s="7">
        <f t="shared" si="5"/>
        <v>3</v>
      </c>
      <c r="J14">
        <f t="shared" si="7"/>
        <v>375</v>
      </c>
      <c r="K14">
        <f t="shared" si="8"/>
        <v>168.75</v>
      </c>
      <c r="L14">
        <f t="shared" si="9"/>
        <v>543.75</v>
      </c>
    </row>
    <row r="15" spans="1:12">
      <c r="A15" t="s">
        <v>15</v>
      </c>
      <c r="B15" s="2" t="s">
        <v>18</v>
      </c>
      <c r="C15" s="29" t="s">
        <v>199</v>
      </c>
      <c r="D15" s="30" t="s">
        <v>62</v>
      </c>
      <c r="E15" s="30" t="s">
        <v>57</v>
      </c>
      <c r="F15">
        <v>46.875</v>
      </c>
      <c r="G15">
        <f t="shared" si="6"/>
        <v>12</v>
      </c>
      <c r="H15">
        <f t="shared" si="4"/>
        <v>8</v>
      </c>
      <c r="I15" s="7">
        <f t="shared" si="5"/>
        <v>3</v>
      </c>
      <c r="J15">
        <f t="shared" si="7"/>
        <v>375</v>
      </c>
      <c r="K15">
        <f t="shared" si="8"/>
        <v>168.75</v>
      </c>
      <c r="L15">
        <f t="shared" si="9"/>
        <v>543.75</v>
      </c>
    </row>
    <row r="16" spans="1:12">
      <c r="A16" t="s">
        <v>15</v>
      </c>
      <c r="B16" s="2" t="s">
        <v>18</v>
      </c>
      <c r="C16" s="29" t="s">
        <v>200</v>
      </c>
      <c r="D16" s="30" t="s">
        <v>62</v>
      </c>
      <c r="E16" s="30" t="s">
        <v>57</v>
      </c>
      <c r="F16">
        <v>46.875</v>
      </c>
      <c r="G16">
        <f t="shared" ref="G16" si="10">(E16-D16)*24</f>
        <v>12</v>
      </c>
      <c r="H16">
        <f t="shared" si="4"/>
        <v>8</v>
      </c>
      <c r="I16" s="7">
        <f t="shared" si="5"/>
        <v>3</v>
      </c>
      <c r="J16">
        <f t="shared" ref="J16" si="11">H16*F16</f>
        <v>375</v>
      </c>
      <c r="K16">
        <f t="shared" ref="K16" si="12">I16*F16*1.2</f>
        <v>168.75</v>
      </c>
      <c r="L16">
        <f t="shared" ref="L16" si="13">J16+K16</f>
        <v>543.75</v>
      </c>
    </row>
    <row r="17" spans="1:11">
      <c r="C17" s="16"/>
      <c r="D17" s="16"/>
      <c r="E17" s="16"/>
    </row>
    <row r="20" spans="1:11">
      <c r="A20" s="6" t="s">
        <v>34</v>
      </c>
      <c r="B20" s="6" t="s">
        <v>35</v>
      </c>
      <c r="C20" s="6" t="s">
        <v>36</v>
      </c>
      <c r="D20" s="6" t="s">
        <v>37</v>
      </c>
    </row>
    <row r="21" spans="1:11">
      <c r="A21" t="s">
        <v>15</v>
      </c>
      <c r="B21" s="8">
        <f>SUM(J2:J19)</f>
        <v>3375</v>
      </c>
      <c r="C21" s="8">
        <f>SUM(K2:K19)</f>
        <v>1546.875</v>
      </c>
      <c r="D21" s="8">
        <f>SUM(L2:L19)</f>
        <v>4921.875</v>
      </c>
    </row>
    <row r="24" spans="1:11">
      <c r="G24" s="22"/>
      <c r="H24" s="22"/>
      <c r="I24" s="4"/>
      <c r="J24" s="4"/>
      <c r="K24" s="23"/>
    </row>
    <row r="25" spans="1:11">
      <c r="G25" s="22"/>
      <c r="H25" s="22"/>
      <c r="I25" s="4"/>
      <c r="J25" s="4"/>
      <c r="K25" s="23"/>
    </row>
    <row r="26" spans="1:11">
      <c r="G26" s="22"/>
      <c r="H26" s="4"/>
      <c r="I26" s="5"/>
      <c r="J26" s="5"/>
    </row>
    <row r="27" spans="1:11">
      <c r="G27" s="22"/>
      <c r="H27" s="4"/>
      <c r="I27" s="24"/>
      <c r="J27" s="24"/>
    </row>
    <row r="28" spans="1:11">
      <c r="G28" s="22"/>
      <c r="H28" s="4"/>
      <c r="I28" s="5"/>
      <c r="J28" s="5"/>
    </row>
    <row r="29" spans="1:11" ht="21.6" customHeight="1">
      <c r="A29" s="34" t="s">
        <v>39</v>
      </c>
      <c r="B29" s="34"/>
      <c r="C29" s="15"/>
      <c r="D29" s="9"/>
      <c r="G29" s="22"/>
      <c r="H29" s="4"/>
      <c r="I29" s="5"/>
      <c r="J29" s="5"/>
    </row>
    <row r="30" spans="1:11">
      <c r="A30" s="10" t="s">
        <v>40</v>
      </c>
      <c r="B30" s="11" t="str">
        <f>A2</f>
        <v>Cherry</v>
      </c>
      <c r="C30" s="16"/>
      <c r="G30" s="22"/>
      <c r="H30" s="4"/>
      <c r="I30" s="5"/>
      <c r="J30" s="5"/>
    </row>
    <row r="31" spans="1:11">
      <c r="A31" s="10" t="s">
        <v>41</v>
      </c>
      <c r="B31" s="11" t="s">
        <v>55</v>
      </c>
      <c r="C31" s="16"/>
      <c r="G31" s="22"/>
      <c r="H31" s="4"/>
      <c r="I31" s="5"/>
      <c r="J31" s="5"/>
    </row>
    <row r="32" spans="1:11">
      <c r="A32" s="10" t="s">
        <v>42</v>
      </c>
      <c r="B32" s="12">
        <f>C16+5</f>
        <v>46193</v>
      </c>
      <c r="C32" s="16"/>
      <c r="G32" s="22"/>
      <c r="H32" s="4"/>
      <c r="I32" s="24"/>
      <c r="J32" s="24"/>
    </row>
    <row r="33" spans="1:10">
      <c r="A33" s="10" t="s">
        <v>50</v>
      </c>
      <c r="B33" s="10" t="str">
        <f>Kent!B34</f>
        <v>Jun-1 to Jun-15, 2026</v>
      </c>
      <c r="C33" s="16"/>
      <c r="G33" s="22"/>
      <c r="H33" s="4"/>
      <c r="I33" s="5"/>
      <c r="J33" s="5"/>
    </row>
    <row r="34" spans="1:10">
      <c r="A34" s="10" t="s">
        <v>63</v>
      </c>
      <c r="B34" s="10">
        <f>COUNTIF(D1:D16, "*:*")</f>
        <v>9</v>
      </c>
      <c r="C34" s="16"/>
    </row>
    <row r="35" spans="1:10">
      <c r="A35" s="13" t="s">
        <v>53</v>
      </c>
      <c r="B35" s="10"/>
      <c r="C35" s="17"/>
    </row>
    <row r="36" spans="1:10">
      <c r="A36" s="10" t="s">
        <v>44</v>
      </c>
      <c r="B36" s="14">
        <f>B21</f>
        <v>3375</v>
      </c>
      <c r="C36" s="16"/>
    </row>
    <row r="37" spans="1:10">
      <c r="A37" s="10" t="s">
        <v>43</v>
      </c>
      <c r="B37" s="14">
        <v>0</v>
      </c>
      <c r="C37" s="16"/>
    </row>
    <row r="38" spans="1:10">
      <c r="A38" s="10" t="s">
        <v>6</v>
      </c>
      <c r="B38" s="14">
        <f>C21</f>
        <v>1546.875</v>
      </c>
      <c r="C38" s="16"/>
    </row>
    <row r="39" spans="1:10">
      <c r="A39" s="10" t="s">
        <v>45</v>
      </c>
      <c r="B39" s="14">
        <v>0</v>
      </c>
      <c r="C39" s="16"/>
    </row>
    <row r="40" spans="1:10">
      <c r="A40" s="10"/>
      <c r="B40" s="14"/>
      <c r="C40" s="16"/>
    </row>
    <row r="41" spans="1:10">
      <c r="A41" s="10"/>
      <c r="B41" s="14"/>
      <c r="C41" s="16"/>
    </row>
    <row r="42" spans="1:10">
      <c r="A42" s="10" t="s">
        <v>46</v>
      </c>
      <c r="B42" s="14">
        <f>SUM(B36:B39)</f>
        <v>4921.875</v>
      </c>
      <c r="C42" s="16"/>
    </row>
    <row r="43" spans="1:10">
      <c r="A43" s="10" t="s">
        <v>47</v>
      </c>
      <c r="B43" s="14">
        <v>0</v>
      </c>
      <c r="C43" s="16"/>
    </row>
    <row r="44" spans="1:10">
      <c r="A44" s="10" t="s">
        <v>52</v>
      </c>
      <c r="B44" s="14">
        <v>0</v>
      </c>
      <c r="C44" s="16"/>
    </row>
    <row r="45" spans="1:10">
      <c r="A45" s="10"/>
      <c r="B45" s="14"/>
      <c r="C45" s="16"/>
    </row>
    <row r="46" spans="1:10">
      <c r="A46" s="13" t="s">
        <v>48</v>
      </c>
      <c r="B46" s="14">
        <f>SUM(B42:B44)</f>
        <v>4921.875</v>
      </c>
      <c r="C46" s="16"/>
    </row>
  </sheetData>
  <mergeCells count="1">
    <mergeCell ref="A29:B29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8"/>
  <sheetViews>
    <sheetView topLeftCell="A13" workbookViewId="0">
      <selection activeCell="B45" sqref="B45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85</v>
      </c>
      <c r="C2" s="29" t="s">
        <v>179</v>
      </c>
      <c r="D2" s="30" t="s">
        <v>145</v>
      </c>
      <c r="E2" s="30" t="s">
        <v>178</v>
      </c>
      <c r="F2">
        <v>43.75</v>
      </c>
      <c r="G2">
        <f t="shared" ref="G2:G8" si="0">(E2-D2)*24</f>
        <v>11.5</v>
      </c>
      <c r="H2">
        <f>MIN(G2,8)</f>
        <v>8</v>
      </c>
      <c r="I2" s="7">
        <f>IF(MAX(G2-8,0) - 1 &lt; 0, 0, MAX(G2-8,0) - 1)</f>
        <v>2.5</v>
      </c>
      <c r="J2">
        <f t="shared" ref="J2:J8" si="1">H2*F2</f>
        <v>350</v>
      </c>
      <c r="K2">
        <f t="shared" ref="K2:K8" si="2">I2*F2*1.2</f>
        <v>131.25</v>
      </c>
      <c r="L2">
        <f t="shared" ref="L2:L8" si="3">J2+K2</f>
        <v>481.25</v>
      </c>
    </row>
    <row r="3" spans="1:12">
      <c r="A3" t="s">
        <v>33</v>
      </c>
      <c r="B3" s="2" t="s">
        <v>85</v>
      </c>
      <c r="C3" s="29" t="s">
        <v>182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33</v>
      </c>
      <c r="B4" s="2" t="s">
        <v>85</v>
      </c>
      <c r="C4" s="29" t="s">
        <v>184</v>
      </c>
      <c r="D4" s="30" t="s">
        <v>145</v>
      </c>
      <c r="E4" s="30" t="s">
        <v>217</v>
      </c>
      <c r="F4">
        <v>43.75</v>
      </c>
      <c r="G4">
        <f t="shared" si="0"/>
        <v>9.5</v>
      </c>
      <c r="H4">
        <f t="shared" si="4"/>
        <v>8</v>
      </c>
      <c r="I4" s="7">
        <f t="shared" si="5"/>
        <v>0.5</v>
      </c>
      <c r="J4">
        <f t="shared" si="1"/>
        <v>350</v>
      </c>
      <c r="K4">
        <f t="shared" si="2"/>
        <v>26.25</v>
      </c>
      <c r="L4">
        <f t="shared" si="3"/>
        <v>376.25</v>
      </c>
    </row>
    <row r="5" spans="1:12">
      <c r="A5" t="s">
        <v>33</v>
      </c>
      <c r="B5" s="2" t="s">
        <v>85</v>
      </c>
      <c r="C5" s="29" t="s">
        <v>186</v>
      </c>
      <c r="D5" s="30" t="s">
        <v>213</v>
      </c>
      <c r="E5" s="30" t="s">
        <v>54</v>
      </c>
      <c r="F5">
        <v>43.75</v>
      </c>
      <c r="G5">
        <f t="shared" si="0"/>
        <v>10</v>
      </c>
      <c r="H5">
        <f t="shared" si="4"/>
        <v>8</v>
      </c>
      <c r="I5" s="7">
        <f t="shared" si="5"/>
        <v>1</v>
      </c>
      <c r="J5">
        <f t="shared" si="1"/>
        <v>350</v>
      </c>
      <c r="K5">
        <f t="shared" si="2"/>
        <v>52.5</v>
      </c>
      <c r="L5">
        <f t="shared" si="3"/>
        <v>402.5</v>
      </c>
    </row>
    <row r="6" spans="1:12">
      <c r="A6" t="s">
        <v>33</v>
      </c>
      <c r="B6" s="2" t="s">
        <v>85</v>
      </c>
      <c r="C6" s="29" t="s">
        <v>187</v>
      </c>
      <c r="D6" s="30" t="s">
        <v>31</v>
      </c>
      <c r="E6" s="30" t="s">
        <v>31</v>
      </c>
      <c r="F6">
        <v>43.75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33</v>
      </c>
      <c r="B7" s="2" t="s">
        <v>85</v>
      </c>
      <c r="C7" s="29" t="s">
        <v>188</v>
      </c>
      <c r="D7" s="30" t="s">
        <v>97</v>
      </c>
      <c r="E7" s="30" t="s">
        <v>54</v>
      </c>
      <c r="F7">
        <v>43.75</v>
      </c>
      <c r="G7">
        <f t="shared" si="0"/>
        <v>11.5</v>
      </c>
      <c r="H7">
        <f t="shared" si="4"/>
        <v>8</v>
      </c>
      <c r="I7" s="7">
        <f t="shared" si="5"/>
        <v>2.5</v>
      </c>
      <c r="J7">
        <f t="shared" si="1"/>
        <v>350</v>
      </c>
      <c r="K7">
        <f t="shared" si="2"/>
        <v>131.25</v>
      </c>
      <c r="L7">
        <f t="shared" si="3"/>
        <v>481.25</v>
      </c>
    </row>
    <row r="8" spans="1:12">
      <c r="A8" t="s">
        <v>33</v>
      </c>
      <c r="B8" s="2" t="s">
        <v>85</v>
      </c>
      <c r="C8" s="29" t="s">
        <v>189</v>
      </c>
      <c r="D8" s="30" t="s">
        <v>60</v>
      </c>
      <c r="E8" s="30" t="s">
        <v>57</v>
      </c>
      <c r="F8">
        <v>43.75</v>
      </c>
      <c r="G8">
        <f t="shared" si="0"/>
        <v>3.9999999999999991</v>
      </c>
      <c r="H8">
        <f t="shared" si="4"/>
        <v>3.9999999999999991</v>
      </c>
      <c r="I8" s="7">
        <f t="shared" si="5"/>
        <v>0</v>
      </c>
      <c r="J8">
        <f t="shared" si="1"/>
        <v>174.99999999999997</v>
      </c>
      <c r="K8">
        <f t="shared" si="2"/>
        <v>0</v>
      </c>
      <c r="L8">
        <f t="shared" si="3"/>
        <v>174.99999999999997</v>
      </c>
    </row>
    <row r="9" spans="1:12">
      <c r="A9" t="s">
        <v>33</v>
      </c>
      <c r="B9" s="2" t="s">
        <v>85</v>
      </c>
      <c r="C9" s="29" t="s">
        <v>190</v>
      </c>
      <c r="D9" s="30" t="s">
        <v>60</v>
      </c>
      <c r="E9" s="23" t="s">
        <v>57</v>
      </c>
      <c r="F9">
        <v>43.75</v>
      </c>
      <c r="G9">
        <f t="shared" ref="G9:G15" si="6">(E9-D9)*24</f>
        <v>3.9999999999999991</v>
      </c>
      <c r="H9">
        <f>MIN(G9,8)</f>
        <v>3.9999999999999991</v>
      </c>
      <c r="I9" s="7">
        <f>IF(MAX(G9-8,0) - 1 &lt; 0, 0, MAX(G9-8,0) - 1)</f>
        <v>0</v>
      </c>
      <c r="J9">
        <f t="shared" ref="J9:J15" si="7">H9*F9</f>
        <v>174.99999999999997</v>
      </c>
      <c r="K9">
        <f t="shared" ref="K9:K15" si="8">I9*F9*1.2</f>
        <v>0</v>
      </c>
      <c r="L9">
        <f t="shared" ref="L9:L15" si="9">J9+K9</f>
        <v>174.99999999999997</v>
      </c>
    </row>
    <row r="10" spans="1:12">
      <c r="A10" t="s">
        <v>33</v>
      </c>
      <c r="B10" s="2" t="s">
        <v>85</v>
      </c>
      <c r="C10" s="29" t="s">
        <v>192</v>
      </c>
      <c r="D10" s="30" t="s">
        <v>31</v>
      </c>
      <c r="E10" s="30" t="s">
        <v>31</v>
      </c>
      <c r="F10">
        <v>43.75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33</v>
      </c>
      <c r="B11" s="2" t="s">
        <v>85</v>
      </c>
      <c r="C11" s="29" t="s">
        <v>193</v>
      </c>
      <c r="D11" s="30" t="s">
        <v>31</v>
      </c>
      <c r="E11" s="30" t="s">
        <v>31</v>
      </c>
      <c r="F11">
        <v>43.75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33</v>
      </c>
      <c r="B12" s="2" t="s">
        <v>85</v>
      </c>
      <c r="C12" s="29" t="s">
        <v>194</v>
      </c>
      <c r="D12" s="30" t="s">
        <v>31</v>
      </c>
      <c r="E12" s="30" t="s">
        <v>31</v>
      </c>
      <c r="F12">
        <v>43.75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33</v>
      </c>
      <c r="B13" s="2" t="s">
        <v>85</v>
      </c>
      <c r="C13" s="29" t="s">
        <v>195</v>
      </c>
      <c r="D13" s="30" t="s">
        <v>97</v>
      </c>
      <c r="E13" s="30" t="s">
        <v>218</v>
      </c>
      <c r="F13">
        <v>43.75</v>
      </c>
      <c r="G13">
        <f t="shared" si="6"/>
        <v>6.5</v>
      </c>
      <c r="H13">
        <f t="shared" si="10"/>
        <v>6.5</v>
      </c>
      <c r="I13" s="7">
        <f t="shared" si="11"/>
        <v>0</v>
      </c>
      <c r="J13">
        <f t="shared" si="7"/>
        <v>284.375</v>
      </c>
      <c r="K13">
        <f t="shared" si="8"/>
        <v>0</v>
      </c>
      <c r="L13">
        <f t="shared" si="9"/>
        <v>284.375</v>
      </c>
    </row>
    <row r="14" spans="1:12">
      <c r="A14" t="s">
        <v>33</v>
      </c>
      <c r="B14" s="2" t="s">
        <v>85</v>
      </c>
      <c r="C14" s="29" t="s">
        <v>196</v>
      </c>
      <c r="D14" s="30" t="s">
        <v>122</v>
      </c>
      <c r="E14" s="30" t="s">
        <v>57</v>
      </c>
      <c r="F14">
        <v>43.75</v>
      </c>
      <c r="G14">
        <f t="shared" si="6"/>
        <v>13.000000000000002</v>
      </c>
      <c r="H14">
        <f t="shared" si="10"/>
        <v>8</v>
      </c>
      <c r="I14" s="7">
        <f t="shared" si="11"/>
        <v>4.0000000000000018</v>
      </c>
      <c r="J14">
        <f t="shared" si="7"/>
        <v>350</v>
      </c>
      <c r="K14">
        <f t="shared" si="8"/>
        <v>210.00000000000009</v>
      </c>
      <c r="L14">
        <f t="shared" si="9"/>
        <v>560.00000000000011</v>
      </c>
    </row>
    <row r="15" spans="1:12">
      <c r="A15" t="s">
        <v>33</v>
      </c>
      <c r="B15" s="2" t="s">
        <v>85</v>
      </c>
      <c r="C15" s="29" t="s">
        <v>199</v>
      </c>
      <c r="D15" s="30" t="s">
        <v>145</v>
      </c>
      <c r="E15" s="30" t="s">
        <v>57</v>
      </c>
      <c r="F15">
        <v>43.75</v>
      </c>
      <c r="G15">
        <f t="shared" si="6"/>
        <v>12</v>
      </c>
      <c r="H15">
        <f t="shared" si="10"/>
        <v>8</v>
      </c>
      <c r="I15" s="7">
        <f t="shared" si="11"/>
        <v>3</v>
      </c>
      <c r="J15">
        <f t="shared" si="7"/>
        <v>350</v>
      </c>
      <c r="K15">
        <f t="shared" si="8"/>
        <v>157.5</v>
      </c>
      <c r="L15">
        <f t="shared" si="9"/>
        <v>507.5</v>
      </c>
    </row>
    <row r="16" spans="1:12">
      <c r="A16" t="s">
        <v>33</v>
      </c>
      <c r="B16" s="2" t="s">
        <v>85</v>
      </c>
      <c r="C16" s="29" t="s">
        <v>200</v>
      </c>
      <c r="D16" s="30" t="s">
        <v>145</v>
      </c>
      <c r="E16" s="30" t="s">
        <v>54</v>
      </c>
      <c r="F16">
        <v>43.75</v>
      </c>
      <c r="G16">
        <f t="shared" ref="G16" si="12">(E16-D16)*24</f>
        <v>12.5</v>
      </c>
      <c r="H16">
        <f t="shared" ref="H16" si="13">MIN(G16,8)</f>
        <v>8</v>
      </c>
      <c r="I16" s="7">
        <f t="shared" ref="I16" si="14">IF(MAX(G16-8,0) - 1 &lt; 0, 0, MAX(G16-8,0) - 1)</f>
        <v>3.5</v>
      </c>
      <c r="J16">
        <f t="shared" ref="J16" si="15">H16*F16</f>
        <v>350</v>
      </c>
      <c r="K16">
        <f t="shared" ref="K16" si="16">I16*F16*1.2</f>
        <v>183.75</v>
      </c>
      <c r="L16">
        <f>J16+K16</f>
        <v>533.75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33</v>
      </c>
      <c r="B22" s="8">
        <f>SUM(J2:J20)</f>
        <v>3084.375</v>
      </c>
      <c r="C22" s="8">
        <f>SUM(K2:K20)</f>
        <v>892.50000000000011</v>
      </c>
      <c r="D22" s="8">
        <f>SUM(L2:L20)</f>
        <v>3976.875</v>
      </c>
    </row>
    <row r="30" spans="1:4" ht="21.6" customHeight="1">
      <c r="A30" s="34" t="s">
        <v>39</v>
      </c>
      <c r="B30" s="34"/>
      <c r="C30" s="15"/>
      <c r="D30" s="9"/>
    </row>
    <row r="31" spans="1:4">
      <c r="A31" s="10" t="s">
        <v>40</v>
      </c>
      <c r="B31" s="11" t="str">
        <f>A2</f>
        <v>Mark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C16+5</f>
        <v>46193</v>
      </c>
      <c r="C33" s="16"/>
    </row>
    <row r="34" spans="1:3">
      <c r="A34" s="10" t="s">
        <v>50</v>
      </c>
      <c r="B34" s="10" t="str">
        <f>Kent!B34</f>
        <v>Jun-1 to Jun-15, 2026</v>
      </c>
      <c r="C34" s="16"/>
    </row>
    <row r="35" spans="1:3">
      <c r="A35" s="10" t="s">
        <v>63</v>
      </c>
      <c r="B35" s="10">
        <f>COUNTIF(D2:D17, "*:*")</f>
        <v>10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3084.375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892.50000000000011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SUM(B37:B40)</f>
        <v>3976.875</v>
      </c>
      <c r="C43" s="16"/>
    </row>
    <row r="44" spans="1:3">
      <c r="A44" s="10" t="s">
        <v>47</v>
      </c>
      <c r="B44" s="14">
        <v>-1000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2976.875</v>
      </c>
      <c r="C47" s="16"/>
    </row>
    <row r="48" spans="1:3">
      <c r="B48" s="28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5"/>
  <sheetViews>
    <sheetView topLeftCell="A16" workbookViewId="0">
      <selection activeCell="B30" sqref="B30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108</v>
      </c>
      <c r="B2" s="2" t="s">
        <v>19</v>
      </c>
      <c r="C2" s="29" t="s">
        <v>179</v>
      </c>
      <c r="D2" s="30" t="s">
        <v>122</v>
      </c>
      <c r="E2" s="30" t="s">
        <v>60</v>
      </c>
      <c r="F2">
        <v>43.75</v>
      </c>
      <c r="G2" s="32">
        <f t="shared" ref="G2:G16" si="0">(E2-D2)*24</f>
        <v>9.0000000000000018</v>
      </c>
      <c r="H2" s="32">
        <f>MIN(G2,8)</f>
        <v>8</v>
      </c>
      <c r="I2" s="7">
        <f>IF(MAX(G2-8,0) - 1 &lt; 0, 0, MAX(G2-8,0) - 1)</f>
        <v>1.7763568394002505E-15</v>
      </c>
      <c r="J2" s="7">
        <f t="shared" ref="J2:J8" si="1">H2*F2</f>
        <v>350</v>
      </c>
      <c r="K2" s="7">
        <f t="shared" ref="K2:K8" si="2">I2*F2*1.2</f>
        <v>9.3258734068513149E-14</v>
      </c>
      <c r="L2" s="7">
        <f t="shared" ref="L2:L8" si="3">J2+K2</f>
        <v>350.00000000000011</v>
      </c>
    </row>
    <row r="3" spans="1:12">
      <c r="A3" t="s">
        <v>108</v>
      </c>
      <c r="B3" s="2" t="s">
        <v>19</v>
      </c>
      <c r="C3" s="29" t="s">
        <v>182</v>
      </c>
      <c r="D3" s="30" t="s">
        <v>31</v>
      </c>
      <c r="E3" s="30" t="s">
        <v>31</v>
      </c>
      <c r="F3">
        <v>43.75</v>
      </c>
      <c r="G3" s="32">
        <f t="shared" si="0"/>
        <v>0</v>
      </c>
      <c r="H3" s="32">
        <f>MIN(G3,8)</f>
        <v>0</v>
      </c>
      <c r="I3" s="7">
        <f t="shared" ref="I3:I8" si="4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108</v>
      </c>
      <c r="B4" s="2" t="s">
        <v>19</v>
      </c>
      <c r="C4" s="29" t="s">
        <v>184</v>
      </c>
      <c r="D4" s="30" t="s">
        <v>31</v>
      </c>
      <c r="E4" s="30" t="s">
        <v>31</v>
      </c>
      <c r="F4">
        <v>43.75</v>
      </c>
      <c r="G4" s="32">
        <f t="shared" si="0"/>
        <v>0</v>
      </c>
      <c r="H4" s="32">
        <f>MIN(G4,8)</f>
        <v>0</v>
      </c>
      <c r="I4" s="7">
        <f t="shared" si="4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108</v>
      </c>
      <c r="B5" s="2" t="s">
        <v>19</v>
      </c>
      <c r="C5" s="29" t="s">
        <v>186</v>
      </c>
      <c r="D5" s="30" t="s">
        <v>122</v>
      </c>
      <c r="E5" s="30" t="s">
        <v>213</v>
      </c>
      <c r="F5">
        <v>43.75</v>
      </c>
      <c r="G5" s="32">
        <f t="shared" si="0"/>
        <v>3.5000000000000009</v>
      </c>
      <c r="H5" s="32">
        <f>MIN(G5,8)</f>
        <v>3.5000000000000009</v>
      </c>
      <c r="I5" s="7">
        <f t="shared" si="4"/>
        <v>0</v>
      </c>
      <c r="J5" s="7">
        <f t="shared" si="1"/>
        <v>153.12500000000003</v>
      </c>
      <c r="K5" s="7">
        <f t="shared" si="2"/>
        <v>0</v>
      </c>
      <c r="L5" s="7">
        <f t="shared" si="3"/>
        <v>153.12500000000003</v>
      </c>
    </row>
    <row r="6" spans="1:12">
      <c r="A6" t="s">
        <v>108</v>
      </c>
      <c r="B6" s="2" t="s">
        <v>19</v>
      </c>
      <c r="C6" s="29" t="s">
        <v>187</v>
      </c>
      <c r="D6" s="30" t="s">
        <v>31</v>
      </c>
      <c r="E6" s="30" t="s">
        <v>31</v>
      </c>
      <c r="F6">
        <v>43.75</v>
      </c>
      <c r="G6" s="32">
        <f t="shared" si="0"/>
        <v>0</v>
      </c>
      <c r="H6" s="32">
        <f>MIN(G6,8)</f>
        <v>0</v>
      </c>
      <c r="I6" s="7">
        <f t="shared" si="4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108</v>
      </c>
      <c r="B7" s="2" t="s">
        <v>19</v>
      </c>
      <c r="C7" s="29" t="s">
        <v>188</v>
      </c>
      <c r="D7" s="30" t="s">
        <v>31</v>
      </c>
      <c r="E7" s="30" t="s">
        <v>31</v>
      </c>
      <c r="F7">
        <v>43.75</v>
      </c>
      <c r="G7" s="32">
        <f t="shared" si="0"/>
        <v>0</v>
      </c>
      <c r="H7" s="32">
        <f>MIN(G7,9)</f>
        <v>0</v>
      </c>
      <c r="I7" s="7">
        <f t="shared" si="4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108</v>
      </c>
      <c r="B8" s="2" t="s">
        <v>19</v>
      </c>
      <c r="C8" s="29" t="s">
        <v>189</v>
      </c>
      <c r="D8" s="30" t="s">
        <v>122</v>
      </c>
      <c r="E8" s="30" t="s">
        <v>177</v>
      </c>
      <c r="F8">
        <v>43.75</v>
      </c>
      <c r="G8" s="32">
        <f t="shared" si="0"/>
        <v>7</v>
      </c>
      <c r="H8" s="32">
        <f>MIN(G8,9)</f>
        <v>7</v>
      </c>
      <c r="I8" s="7">
        <f t="shared" si="4"/>
        <v>0</v>
      </c>
      <c r="J8" s="7">
        <f t="shared" si="1"/>
        <v>306.25</v>
      </c>
      <c r="K8" s="7">
        <f t="shared" si="2"/>
        <v>0</v>
      </c>
      <c r="L8" s="7">
        <f t="shared" si="3"/>
        <v>306.25</v>
      </c>
    </row>
    <row r="9" spans="1:12">
      <c r="A9" t="s">
        <v>108</v>
      </c>
      <c r="B9" s="2" t="s">
        <v>19</v>
      </c>
      <c r="C9" s="29" t="s">
        <v>190</v>
      </c>
      <c r="D9" s="30" t="s">
        <v>122</v>
      </c>
      <c r="E9" s="30" t="s">
        <v>214</v>
      </c>
      <c r="F9">
        <v>43.75</v>
      </c>
      <c r="G9" s="32">
        <f t="shared" si="0"/>
        <v>3.2500000000000004</v>
      </c>
      <c r="H9" s="32">
        <f>MIN(G9,8)</f>
        <v>3.2500000000000004</v>
      </c>
      <c r="I9" s="7">
        <f>IF(MAX(G9-8,0) - 1 &lt; 0, 0, MAX(G9-8,0) - 1)</f>
        <v>0</v>
      </c>
      <c r="J9" s="7">
        <f t="shared" ref="J9:J15" si="5">H9*F9</f>
        <v>142.18750000000003</v>
      </c>
      <c r="K9" s="7">
        <f t="shared" ref="K9:K15" si="6">I9*F9*1.2</f>
        <v>0</v>
      </c>
      <c r="L9" s="7">
        <f t="shared" ref="L9:L15" si="7">J9+K9</f>
        <v>142.18750000000003</v>
      </c>
    </row>
    <row r="10" spans="1:12">
      <c r="A10" t="s">
        <v>108</v>
      </c>
      <c r="B10" s="2" t="s">
        <v>19</v>
      </c>
      <c r="C10" s="29" t="s">
        <v>192</v>
      </c>
      <c r="D10" s="30" t="s">
        <v>31</v>
      </c>
      <c r="E10" s="30" t="s">
        <v>31</v>
      </c>
      <c r="F10">
        <v>43.75</v>
      </c>
      <c r="G10" s="32">
        <f t="shared" si="0"/>
        <v>0</v>
      </c>
      <c r="H10" s="32">
        <f>MIN(G10,8)</f>
        <v>0</v>
      </c>
      <c r="I10" s="7">
        <f t="shared" ref="I10:I15" si="8">IF(MAX(G10-8,0) - 1 &lt; 0, 0, MAX(G10-8,0) - 1)</f>
        <v>0</v>
      </c>
      <c r="J10" s="7">
        <f t="shared" si="5"/>
        <v>0</v>
      </c>
      <c r="K10" s="7">
        <f t="shared" si="6"/>
        <v>0</v>
      </c>
      <c r="L10" s="7">
        <f t="shared" si="7"/>
        <v>0</v>
      </c>
    </row>
    <row r="11" spans="1:12">
      <c r="A11" t="s">
        <v>108</v>
      </c>
      <c r="B11" s="2" t="s">
        <v>19</v>
      </c>
      <c r="C11" s="29" t="s">
        <v>193</v>
      </c>
      <c r="D11" s="30" t="s">
        <v>31</v>
      </c>
      <c r="E11" s="30" t="s">
        <v>31</v>
      </c>
      <c r="F11">
        <v>43.75</v>
      </c>
      <c r="G11" s="32">
        <f t="shared" si="0"/>
        <v>0</v>
      </c>
      <c r="H11" s="32">
        <f>MIN(G11,8)</f>
        <v>0</v>
      </c>
      <c r="I11" s="7">
        <f t="shared" si="8"/>
        <v>0</v>
      </c>
      <c r="J11" s="7">
        <f t="shared" si="5"/>
        <v>0</v>
      </c>
      <c r="K11" s="7">
        <f t="shared" si="6"/>
        <v>0</v>
      </c>
      <c r="L11" s="7">
        <f t="shared" si="7"/>
        <v>0</v>
      </c>
    </row>
    <row r="12" spans="1:12">
      <c r="A12" t="s">
        <v>108</v>
      </c>
      <c r="B12" s="2" t="s">
        <v>19</v>
      </c>
      <c r="C12" s="29" t="s">
        <v>194</v>
      </c>
      <c r="D12" s="30" t="s">
        <v>31</v>
      </c>
      <c r="E12" s="30" t="s">
        <v>31</v>
      </c>
      <c r="F12">
        <v>43.75</v>
      </c>
      <c r="G12" s="32">
        <f t="shared" si="0"/>
        <v>0</v>
      </c>
      <c r="H12" s="32">
        <f>MIN(G12,8)</f>
        <v>0</v>
      </c>
      <c r="I12" s="7">
        <f t="shared" si="8"/>
        <v>0</v>
      </c>
      <c r="J12" s="7">
        <f t="shared" si="5"/>
        <v>0</v>
      </c>
      <c r="K12" s="7">
        <f t="shared" si="6"/>
        <v>0</v>
      </c>
      <c r="L12" s="7">
        <f t="shared" si="7"/>
        <v>0</v>
      </c>
    </row>
    <row r="13" spans="1:12">
      <c r="A13" t="s">
        <v>108</v>
      </c>
      <c r="B13" s="2" t="s">
        <v>19</v>
      </c>
      <c r="C13" s="29" t="s">
        <v>195</v>
      </c>
      <c r="D13" s="30" t="s">
        <v>31</v>
      </c>
      <c r="E13" s="30" t="s">
        <v>31</v>
      </c>
      <c r="F13">
        <v>43.75</v>
      </c>
      <c r="G13" s="32">
        <f t="shared" si="0"/>
        <v>0</v>
      </c>
      <c r="H13" s="32">
        <f>MIN(G13,8)</f>
        <v>0</v>
      </c>
      <c r="I13" s="7">
        <f t="shared" si="8"/>
        <v>0</v>
      </c>
      <c r="J13" s="7">
        <f t="shared" si="5"/>
        <v>0</v>
      </c>
      <c r="K13" s="7">
        <f t="shared" si="6"/>
        <v>0</v>
      </c>
      <c r="L13" s="7">
        <f t="shared" si="7"/>
        <v>0</v>
      </c>
    </row>
    <row r="14" spans="1:12">
      <c r="A14" t="s">
        <v>108</v>
      </c>
      <c r="B14" s="2" t="s">
        <v>19</v>
      </c>
      <c r="C14" s="29" t="s">
        <v>196</v>
      </c>
      <c r="D14" s="30" t="s">
        <v>31</v>
      </c>
      <c r="E14" s="30" t="s">
        <v>31</v>
      </c>
      <c r="F14">
        <v>43.75</v>
      </c>
      <c r="G14" s="32">
        <f t="shared" si="0"/>
        <v>0</v>
      </c>
      <c r="H14" s="32">
        <f>MIN(G14,9)</f>
        <v>0</v>
      </c>
      <c r="I14" s="7">
        <f t="shared" si="8"/>
        <v>0</v>
      </c>
      <c r="J14" s="7">
        <f t="shared" si="5"/>
        <v>0</v>
      </c>
      <c r="K14" s="7">
        <f t="shared" si="6"/>
        <v>0</v>
      </c>
      <c r="L14" s="7">
        <f t="shared" si="7"/>
        <v>0</v>
      </c>
    </row>
    <row r="15" spans="1:12">
      <c r="A15" t="s">
        <v>108</v>
      </c>
      <c r="B15" s="2" t="s">
        <v>19</v>
      </c>
      <c r="C15" s="29" t="s">
        <v>199</v>
      </c>
      <c r="D15" s="30" t="s">
        <v>31</v>
      </c>
      <c r="E15" s="30" t="s">
        <v>31</v>
      </c>
      <c r="F15">
        <v>43.75</v>
      </c>
      <c r="G15" s="32">
        <f t="shared" si="0"/>
        <v>0</v>
      </c>
      <c r="H15" s="32">
        <f>MIN(G15,9)</f>
        <v>0</v>
      </c>
      <c r="I15" s="7">
        <f t="shared" si="8"/>
        <v>0</v>
      </c>
      <c r="J15" s="7">
        <f t="shared" si="5"/>
        <v>0</v>
      </c>
      <c r="K15" s="7">
        <f t="shared" si="6"/>
        <v>0</v>
      </c>
      <c r="L15" s="7">
        <f t="shared" si="7"/>
        <v>0</v>
      </c>
    </row>
    <row r="16" spans="1:12">
      <c r="A16" t="s">
        <v>108</v>
      </c>
      <c r="B16" s="2" t="s">
        <v>19</v>
      </c>
      <c r="C16" s="29" t="s">
        <v>200</v>
      </c>
      <c r="D16" s="30" t="s">
        <v>31</v>
      </c>
      <c r="E16" s="30" t="s">
        <v>31</v>
      </c>
      <c r="F16">
        <v>43.75</v>
      </c>
      <c r="G16" s="32">
        <f t="shared" si="0"/>
        <v>0</v>
      </c>
      <c r="H16" s="32">
        <f>MIN(G16,9)</f>
        <v>0</v>
      </c>
      <c r="I16" s="7">
        <f t="shared" ref="I16" si="9">IF(MAX(G16-8,0) - 1 &lt; 0, 0, MAX(G16-8,0) - 1)</f>
        <v>0</v>
      </c>
      <c r="J16" s="7">
        <f t="shared" ref="J16" si="10">H16*F16</f>
        <v>0</v>
      </c>
      <c r="K16" s="7">
        <f t="shared" ref="K16" si="11">I16*F16*1.2</f>
        <v>0</v>
      </c>
      <c r="L16" s="7">
        <f t="shared" ref="L16" si="12">J16+K16</f>
        <v>0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108</v>
      </c>
      <c r="B23" s="8">
        <f>SUM(J2:J21)</f>
        <v>951.5625</v>
      </c>
      <c r="C23" s="8">
        <f>SUM(K2:K21)</f>
        <v>9.3258734068513149E-14</v>
      </c>
      <c r="D23" s="8">
        <f>SUM(L2:L21)</f>
        <v>951.56250000000011</v>
      </c>
    </row>
    <row r="27" spans="1:4" ht="21.6" customHeight="1">
      <c r="A27" s="34" t="s">
        <v>39</v>
      </c>
      <c r="B27" s="34"/>
      <c r="C27" s="15"/>
      <c r="D27" s="9"/>
    </row>
    <row r="28" spans="1:4">
      <c r="A28" s="10" t="s">
        <v>40</v>
      </c>
      <c r="B28" s="11" t="str">
        <f>A2</f>
        <v>Kim</v>
      </c>
      <c r="C28" s="16"/>
    </row>
    <row r="29" spans="1:4">
      <c r="A29" s="10" t="s">
        <v>41</v>
      </c>
      <c r="B29" s="11" t="s">
        <v>55</v>
      </c>
      <c r="C29" s="16"/>
    </row>
    <row r="30" spans="1:4">
      <c r="A30" s="10" t="s">
        <v>42</v>
      </c>
      <c r="B30" s="12">
        <f>C16+5</f>
        <v>46193</v>
      </c>
      <c r="C30" s="16"/>
    </row>
    <row r="31" spans="1:4">
      <c r="A31" s="10" t="s">
        <v>50</v>
      </c>
      <c r="B31" s="10" t="str">
        <f>Kent!B34</f>
        <v>Jun-1 to Jun-15, 2026</v>
      </c>
      <c r="C31" s="16"/>
    </row>
    <row r="32" spans="1:4">
      <c r="A32" s="10" t="s">
        <v>63</v>
      </c>
      <c r="B32" s="10">
        <f>COUNTIF(D2:D17, "*:*")</f>
        <v>4</v>
      </c>
      <c r="C32" s="16"/>
    </row>
    <row r="33" spans="1:3">
      <c r="A33" s="13" t="s">
        <v>53</v>
      </c>
      <c r="B33" s="10"/>
      <c r="C33" s="17"/>
    </row>
    <row r="34" spans="1:3">
      <c r="A34" s="10" t="s">
        <v>44</v>
      </c>
      <c r="B34" s="14">
        <f>B23</f>
        <v>951.5625</v>
      </c>
      <c r="C34" s="16"/>
    </row>
    <row r="35" spans="1:3">
      <c r="A35" s="10" t="s">
        <v>43</v>
      </c>
      <c r="B35" s="14">
        <v>0</v>
      </c>
      <c r="C35" s="16"/>
    </row>
    <row r="36" spans="1:3">
      <c r="A36" s="10" t="s">
        <v>6</v>
      </c>
      <c r="B36" s="14">
        <f>C23</f>
        <v>9.3258734068513149E-14</v>
      </c>
      <c r="C36" s="16"/>
    </row>
    <row r="37" spans="1:3">
      <c r="A37" s="10" t="s">
        <v>45</v>
      </c>
      <c r="B37" s="14">
        <v>0</v>
      </c>
      <c r="C37" s="16"/>
    </row>
    <row r="38" spans="1:3">
      <c r="A38" s="10"/>
      <c r="B38" s="14"/>
      <c r="C38" s="16"/>
    </row>
    <row r="39" spans="1:3">
      <c r="A39" s="10"/>
      <c r="B39" s="14"/>
      <c r="C39" s="16"/>
    </row>
    <row r="40" spans="1:3">
      <c r="A40" s="10" t="s">
        <v>46</v>
      </c>
      <c r="B40" s="14">
        <f>D23</f>
        <v>951.56250000000011</v>
      </c>
      <c r="C40" s="16"/>
    </row>
    <row r="41" spans="1:3">
      <c r="A41" s="10" t="s">
        <v>47</v>
      </c>
      <c r="B41" s="14">
        <v>-500</v>
      </c>
      <c r="C41" s="16" t="s">
        <v>219</v>
      </c>
    </row>
    <row r="42" spans="1:3">
      <c r="A42" s="10"/>
      <c r="B42" s="14">
        <v>-300</v>
      </c>
      <c r="C42" s="16" t="s">
        <v>220</v>
      </c>
    </row>
    <row r="43" spans="1:3">
      <c r="A43" s="10"/>
      <c r="B43" s="14">
        <v>-500</v>
      </c>
      <c r="C43" s="16" t="s">
        <v>221</v>
      </c>
    </row>
    <row r="44" spans="1:3">
      <c r="A44" s="10" t="s">
        <v>222</v>
      </c>
      <c r="B44" s="14"/>
      <c r="C44" s="16"/>
    </row>
    <row r="45" spans="1:3">
      <c r="A45" s="13" t="s">
        <v>48</v>
      </c>
      <c r="B45" s="14">
        <f>SUM(B40:B43)</f>
        <v>-348.43749999999989</v>
      </c>
      <c r="C45" s="16"/>
    </row>
  </sheetData>
  <mergeCells count="1">
    <mergeCell ref="A27:B27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7" workbookViewId="0">
      <selection activeCell="D41" sqref="D41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66</v>
      </c>
      <c r="B2" s="2" t="s">
        <v>59</v>
      </c>
      <c r="C2" s="4" t="s">
        <v>179</v>
      </c>
      <c r="D2" s="27" t="s">
        <v>62</v>
      </c>
      <c r="E2" s="23" t="s">
        <v>31</v>
      </c>
      <c r="G2" s="7"/>
      <c r="H2" s="7"/>
      <c r="I2" s="7"/>
      <c r="J2" s="7"/>
      <c r="K2" s="7"/>
      <c r="L2" s="26">
        <v>605</v>
      </c>
    </row>
    <row r="3" spans="1:12">
      <c r="A3" t="s">
        <v>66</v>
      </c>
      <c r="B3" s="2" t="s">
        <v>59</v>
      </c>
      <c r="C3" s="4" t="s">
        <v>184</v>
      </c>
      <c r="D3" s="27" t="s">
        <v>64</v>
      </c>
      <c r="E3" s="23" t="s">
        <v>31</v>
      </c>
      <c r="G3" s="7"/>
      <c r="H3" s="7"/>
      <c r="I3" s="7"/>
      <c r="J3" s="7"/>
      <c r="K3" s="7"/>
      <c r="L3" s="26">
        <v>550</v>
      </c>
    </row>
    <row r="4" spans="1:12">
      <c r="A4" t="s">
        <v>66</v>
      </c>
      <c r="B4" s="2" t="s">
        <v>59</v>
      </c>
      <c r="C4" s="4" t="s">
        <v>184</v>
      </c>
      <c r="D4" s="27" t="s">
        <v>67</v>
      </c>
      <c r="E4" s="23" t="s">
        <v>31</v>
      </c>
      <c r="G4" s="7"/>
      <c r="H4" s="7"/>
      <c r="I4" s="7"/>
      <c r="J4" s="7"/>
      <c r="K4" s="7"/>
      <c r="L4" s="26">
        <v>495</v>
      </c>
    </row>
    <row r="5" spans="1:12">
      <c r="A5" t="s">
        <v>66</v>
      </c>
      <c r="B5" s="2" t="s">
        <v>59</v>
      </c>
      <c r="C5" s="4" t="s">
        <v>189</v>
      </c>
      <c r="D5" s="27" t="s">
        <v>68</v>
      </c>
      <c r="E5" s="23" t="s">
        <v>31</v>
      </c>
      <c r="G5" s="7"/>
      <c r="H5" s="7"/>
      <c r="I5" s="7"/>
      <c r="J5" s="7"/>
      <c r="K5" s="7"/>
      <c r="L5" s="26">
        <v>605</v>
      </c>
    </row>
    <row r="6" spans="1:12">
      <c r="A6" t="s">
        <v>66</v>
      </c>
      <c r="B6" s="2" t="s">
        <v>59</v>
      </c>
      <c r="C6" s="4" t="s">
        <v>190</v>
      </c>
      <c r="D6" s="27" t="s">
        <v>69</v>
      </c>
      <c r="E6" s="23" t="s">
        <v>31</v>
      </c>
      <c r="G6" s="7"/>
      <c r="H6" s="7"/>
      <c r="I6" s="7"/>
      <c r="J6" s="7"/>
      <c r="K6" s="7"/>
      <c r="L6" s="26">
        <v>550</v>
      </c>
    </row>
    <row r="7" spans="1:12">
      <c r="A7" t="s">
        <v>66</v>
      </c>
      <c r="B7" s="25" t="s">
        <v>61</v>
      </c>
      <c r="C7" s="4" t="s">
        <v>199</v>
      </c>
      <c r="D7" s="27" t="s">
        <v>70</v>
      </c>
      <c r="E7" s="23" t="s">
        <v>31</v>
      </c>
      <c r="G7" s="7"/>
      <c r="H7" s="7"/>
      <c r="I7" s="7"/>
      <c r="J7" s="7"/>
      <c r="K7" s="7"/>
      <c r="L7" s="26">
        <v>510</v>
      </c>
    </row>
    <row r="8" spans="1:12">
      <c r="A8" t="s">
        <v>66</v>
      </c>
      <c r="B8" s="25" t="s">
        <v>61</v>
      </c>
      <c r="C8" s="4" t="s">
        <v>200</v>
      </c>
      <c r="D8" s="27" t="s">
        <v>70</v>
      </c>
      <c r="E8" s="23" t="s">
        <v>31</v>
      </c>
      <c r="G8" s="7"/>
      <c r="H8" s="7"/>
      <c r="I8" s="7"/>
      <c r="J8" s="7"/>
      <c r="K8" s="7"/>
      <c r="L8" s="7">
        <v>540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0</v>
      </c>
      <c r="C15" s="8">
        <f>SUM(K2:K13)</f>
        <v>0</v>
      </c>
      <c r="D15" s="8">
        <f>SUM(L2:L13)</f>
        <v>3855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David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v>46193</v>
      </c>
      <c r="C26" s="16"/>
    </row>
    <row r="27" spans="1:4">
      <c r="A27" s="10" t="s">
        <v>50</v>
      </c>
      <c r="B27" s="10" t="str">
        <f>Kent!B34</f>
        <v>Jun-1 to Jun-15, 2026</v>
      </c>
      <c r="C27" s="16"/>
    </row>
    <row r="28" spans="1:4">
      <c r="A28" s="10" t="s">
        <v>63</v>
      </c>
      <c r="B28" s="10">
        <f>COUNTIF(D2:D8, "*:*")</f>
        <v>7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8">
        <f>D15</f>
        <v>3855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3855</v>
      </c>
      <c r="C36" s="16"/>
    </row>
    <row r="37" spans="1:3">
      <c r="A37" s="10" t="s">
        <v>47</v>
      </c>
      <c r="B37" s="14">
        <v>-1147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2708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7"/>
  <sheetViews>
    <sheetView workbookViewId="0">
      <selection activeCell="D2" sqref="D2:E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32</v>
      </c>
      <c r="B2" s="2" t="s">
        <v>18</v>
      </c>
      <c r="C2" s="29" t="s">
        <v>111</v>
      </c>
      <c r="D2" s="30" t="s">
        <v>31</v>
      </c>
      <c r="E2" s="30" t="s">
        <v>31</v>
      </c>
      <c r="F2">
        <v>40.86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 s="7">
        <f t="shared" ref="K2:K8" si="2">I2*F2*1.2</f>
        <v>0</v>
      </c>
      <c r="L2">
        <f t="shared" ref="L2:L8" si="3">J2+K2</f>
        <v>0</v>
      </c>
    </row>
    <row r="3" spans="1:12">
      <c r="A3" t="s">
        <v>32</v>
      </c>
      <c r="B3" s="2" t="s">
        <v>18</v>
      </c>
      <c r="C3" s="29" t="s">
        <v>100</v>
      </c>
      <c r="D3" s="30" t="s">
        <v>31</v>
      </c>
      <c r="E3" s="30" t="s">
        <v>31</v>
      </c>
      <c r="F3">
        <v>40.86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32</v>
      </c>
      <c r="B4" s="2" t="s">
        <v>18</v>
      </c>
      <c r="C4" s="29" t="s">
        <v>101</v>
      </c>
      <c r="D4" s="30" t="s">
        <v>31</v>
      </c>
      <c r="E4" s="30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32</v>
      </c>
      <c r="B5" s="2" t="s">
        <v>18</v>
      </c>
      <c r="C5" s="29" t="s">
        <v>102</v>
      </c>
      <c r="D5" s="23" t="s">
        <v>31</v>
      </c>
      <c r="E5" s="23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32</v>
      </c>
      <c r="B6" s="2" t="s">
        <v>18</v>
      </c>
      <c r="C6" s="29" t="s">
        <v>103</v>
      </c>
      <c r="D6" s="23" t="s">
        <v>31</v>
      </c>
      <c r="E6" s="23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32</v>
      </c>
      <c r="B7" s="2" t="s">
        <v>18</v>
      </c>
      <c r="C7" s="29" t="s">
        <v>104</v>
      </c>
      <c r="D7" s="23" t="s">
        <v>31</v>
      </c>
      <c r="E7" s="23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32</v>
      </c>
      <c r="B8" s="2" t="s">
        <v>18</v>
      </c>
      <c r="C8" s="29" t="s">
        <v>105</v>
      </c>
      <c r="D8" s="23" t="s">
        <v>31</v>
      </c>
      <c r="E8" s="23" t="s">
        <v>31</v>
      </c>
      <c r="F8">
        <v>40.86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32</v>
      </c>
      <c r="B9" s="2" t="s">
        <v>18</v>
      </c>
      <c r="C9" s="29" t="s">
        <v>111</v>
      </c>
      <c r="D9" s="30" t="s">
        <v>98</v>
      </c>
      <c r="E9" s="30" t="s">
        <v>60</v>
      </c>
      <c r="F9">
        <v>40.86</v>
      </c>
      <c r="G9">
        <f t="shared" ref="G9:G15" si="6">(E9-D9)*24</f>
        <v>9.0000000000000018</v>
      </c>
      <c r="H9">
        <f>MIN(G9,8)</f>
        <v>8</v>
      </c>
      <c r="I9" s="7">
        <f>IF(MAX(G9-8,0) - 1 &lt; 0, 0, MAX(G9-8,0) - 1)</f>
        <v>1.7763568394002505E-15</v>
      </c>
      <c r="J9">
        <f t="shared" ref="J9:J15" si="7">H9*F9</f>
        <v>326.88</v>
      </c>
      <c r="K9" s="7">
        <f t="shared" ref="K9:K15" si="8">I9*F9*1.2</f>
        <v>8.7098328549473075E-14</v>
      </c>
      <c r="L9">
        <f t="shared" ref="L9:L15" si="9">J9+K9</f>
        <v>326.88000000000011</v>
      </c>
    </row>
    <row r="10" spans="1:12">
      <c r="A10" t="s">
        <v>32</v>
      </c>
      <c r="B10" s="2" t="s">
        <v>18</v>
      </c>
      <c r="C10" s="29" t="s">
        <v>100</v>
      </c>
      <c r="D10" s="23" t="s">
        <v>31</v>
      </c>
      <c r="E10" s="23" t="s">
        <v>31</v>
      </c>
      <c r="F10">
        <v>40.86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32</v>
      </c>
      <c r="B11" s="2" t="s">
        <v>18</v>
      </c>
      <c r="C11" s="29" t="s">
        <v>101</v>
      </c>
      <c r="D11" s="23" t="s">
        <v>31</v>
      </c>
      <c r="E11" s="23" t="s">
        <v>31</v>
      </c>
      <c r="F11">
        <v>40.86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32</v>
      </c>
      <c r="B12" s="2" t="s">
        <v>18</v>
      </c>
      <c r="C12" s="29" t="s">
        <v>102</v>
      </c>
      <c r="D12" s="23" t="s">
        <v>31</v>
      </c>
      <c r="E12" s="23" t="s">
        <v>31</v>
      </c>
      <c r="F12">
        <v>40.86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32</v>
      </c>
      <c r="B13" s="2" t="s">
        <v>18</v>
      </c>
      <c r="C13" s="29" t="s">
        <v>103</v>
      </c>
      <c r="D13" s="23" t="s">
        <v>31</v>
      </c>
      <c r="E13" s="23" t="s">
        <v>31</v>
      </c>
      <c r="F13">
        <v>40.86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32</v>
      </c>
      <c r="B14" s="2" t="s">
        <v>18</v>
      </c>
      <c r="C14" s="29" t="s">
        <v>104</v>
      </c>
      <c r="D14" s="23" t="s">
        <v>31</v>
      </c>
      <c r="E14" s="23" t="s">
        <v>31</v>
      </c>
      <c r="F14">
        <v>40.86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 ht="15" customHeight="1">
      <c r="A15" t="s">
        <v>32</v>
      </c>
      <c r="B15" s="2" t="s">
        <v>18</v>
      </c>
      <c r="C15" s="29" t="s">
        <v>105</v>
      </c>
      <c r="D15" s="23" t="s">
        <v>31</v>
      </c>
      <c r="E15" s="23" t="s">
        <v>31</v>
      </c>
      <c r="F15">
        <v>40.86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ht="15" customHeight="1">
      <c r="A16" t="s">
        <v>32</v>
      </c>
      <c r="B16" s="2" t="s">
        <v>18</v>
      </c>
      <c r="C16" s="29" t="s">
        <v>105</v>
      </c>
      <c r="D16" s="23" t="s">
        <v>31</v>
      </c>
      <c r="E16" s="23" t="s">
        <v>31</v>
      </c>
      <c r="F16">
        <v>40.86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32</v>
      </c>
      <c r="B22" s="8">
        <f>SUM(J2:J20)</f>
        <v>326.88</v>
      </c>
      <c r="C22" s="8">
        <f>SUM(K2:K20)</f>
        <v>8.7098328549473075E-14</v>
      </c>
      <c r="D22" s="8">
        <f>SUM(L2:L20)</f>
        <v>326.88000000000011</v>
      </c>
    </row>
    <row r="30" spans="1:4" ht="21.6" customHeight="1">
      <c r="A30" s="34" t="s">
        <v>39</v>
      </c>
      <c r="B30" s="34"/>
      <c r="C30" s="15"/>
      <c r="D30" s="9"/>
    </row>
    <row r="31" spans="1:4">
      <c r="A31" s="10" t="s">
        <v>40</v>
      </c>
      <c r="B31" s="11" t="str">
        <f>A2</f>
        <v>Kris Naynayan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C8+1</f>
        <v>46139</v>
      </c>
      <c r="C33" s="16"/>
    </row>
    <row r="34" spans="1:3">
      <c r="A34" s="10" t="s">
        <v>50</v>
      </c>
      <c r="B34" s="10" t="str">
        <f>Kent!B34</f>
        <v>Jun-1 to Jun-15, 2026</v>
      </c>
      <c r="C34" s="16"/>
    </row>
    <row r="35" spans="1:3">
      <c r="A35" s="10" t="s">
        <v>63</v>
      </c>
      <c r="B35" s="10">
        <f>COUNTIF(D2:D8, "*:*")</f>
        <v>0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326.88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8.7098328549473075E-14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326.88000000000011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326.88000000000011</v>
      </c>
      <c r="C47" s="16"/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8"/>
  <sheetViews>
    <sheetView topLeftCell="C1" workbookViewId="0">
      <selection activeCell="E17" sqref="E1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106</v>
      </c>
      <c r="B2" s="2" t="s">
        <v>18</v>
      </c>
      <c r="C2" s="4" t="s">
        <v>115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106</v>
      </c>
      <c r="B3" s="2" t="s">
        <v>18</v>
      </c>
      <c r="C3" s="4" t="s">
        <v>116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106</v>
      </c>
      <c r="B4" s="2" t="s">
        <v>18</v>
      </c>
      <c r="C4" s="4" t="s">
        <v>117</v>
      </c>
      <c r="D4" s="30" t="s">
        <v>31</v>
      </c>
      <c r="E4" s="30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106</v>
      </c>
      <c r="B5" s="2" t="s">
        <v>18</v>
      </c>
      <c r="C5" s="4" t="s">
        <v>142</v>
      </c>
      <c r="D5" s="23" t="s">
        <v>62</v>
      </c>
      <c r="E5" s="23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350</v>
      </c>
      <c r="K5">
        <f t="shared" si="2"/>
        <v>157.5</v>
      </c>
      <c r="L5">
        <f t="shared" si="3"/>
        <v>507.5</v>
      </c>
    </row>
    <row r="6" spans="1:12">
      <c r="A6" t="s">
        <v>106</v>
      </c>
      <c r="B6" s="2" t="s">
        <v>18</v>
      </c>
      <c r="C6" s="4" t="s">
        <v>123</v>
      </c>
      <c r="D6" s="23" t="s">
        <v>62</v>
      </c>
      <c r="E6" s="23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350</v>
      </c>
      <c r="K6">
        <f t="shared" si="2"/>
        <v>157.5</v>
      </c>
      <c r="L6">
        <f t="shared" si="3"/>
        <v>507.5</v>
      </c>
    </row>
    <row r="7" spans="1:12">
      <c r="A7" t="s">
        <v>106</v>
      </c>
      <c r="B7" s="2" t="s">
        <v>18</v>
      </c>
      <c r="C7" s="4" t="s">
        <v>124</v>
      </c>
      <c r="D7" s="23" t="s">
        <v>31</v>
      </c>
      <c r="E7" s="23" t="s">
        <v>31</v>
      </c>
      <c r="F7">
        <v>43.75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106</v>
      </c>
      <c r="B8" s="2" t="s">
        <v>18</v>
      </c>
      <c r="C8" s="4" t="s">
        <v>125</v>
      </c>
      <c r="D8" s="23" t="s">
        <v>31</v>
      </c>
      <c r="E8" s="23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106</v>
      </c>
      <c r="B9" s="2" t="s">
        <v>18</v>
      </c>
      <c r="C9" s="4" t="s">
        <v>126</v>
      </c>
      <c r="D9" s="23" t="s">
        <v>62</v>
      </c>
      <c r="E9" s="23" t="s">
        <v>57</v>
      </c>
      <c r="F9">
        <v>43.75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5" si="7">H9*F9</f>
        <v>350</v>
      </c>
      <c r="K9">
        <f t="shared" ref="K9:K15" si="8">I9*F9*1.2</f>
        <v>157.5</v>
      </c>
      <c r="L9">
        <f t="shared" ref="L9:L15" si="9">J9+K9</f>
        <v>507.5</v>
      </c>
    </row>
    <row r="10" spans="1:12">
      <c r="A10" t="s">
        <v>106</v>
      </c>
      <c r="B10" s="2" t="s">
        <v>18</v>
      </c>
      <c r="C10" s="4" t="s">
        <v>127</v>
      </c>
      <c r="D10" s="23" t="s">
        <v>62</v>
      </c>
      <c r="E10" s="23" t="s">
        <v>57</v>
      </c>
      <c r="F10">
        <v>43.75</v>
      </c>
      <c r="G10">
        <f t="shared" si="6"/>
        <v>12</v>
      </c>
      <c r="H10">
        <f t="shared" ref="H10:H15" si="10">MIN(G10,8)</f>
        <v>8</v>
      </c>
      <c r="I10" s="7">
        <f t="shared" ref="I10:I15" si="11">IF(MAX(G10-8,0) - 1 &lt; 0, 0, MAX(G10-8,0) - 1)</f>
        <v>3</v>
      </c>
      <c r="J10">
        <f t="shared" si="7"/>
        <v>350</v>
      </c>
      <c r="K10">
        <f t="shared" si="8"/>
        <v>157.5</v>
      </c>
      <c r="L10">
        <f t="shared" si="9"/>
        <v>507.5</v>
      </c>
    </row>
    <row r="11" spans="1:12">
      <c r="A11" t="s">
        <v>106</v>
      </c>
      <c r="B11" s="2" t="s">
        <v>18</v>
      </c>
      <c r="C11" s="4" t="s">
        <v>128</v>
      </c>
      <c r="D11" s="23" t="s">
        <v>60</v>
      </c>
      <c r="E11" s="23" t="s">
        <v>54</v>
      </c>
      <c r="F11">
        <v>43.75</v>
      </c>
      <c r="G11">
        <f t="shared" si="6"/>
        <v>4.5</v>
      </c>
      <c r="H11">
        <f t="shared" si="10"/>
        <v>4.5</v>
      </c>
      <c r="I11" s="7">
        <f t="shared" si="11"/>
        <v>0</v>
      </c>
      <c r="J11">
        <f t="shared" si="7"/>
        <v>196.875</v>
      </c>
      <c r="K11">
        <f t="shared" si="8"/>
        <v>0</v>
      </c>
      <c r="L11">
        <f t="shared" si="9"/>
        <v>196.875</v>
      </c>
    </row>
    <row r="12" spans="1:12">
      <c r="A12" t="s">
        <v>106</v>
      </c>
      <c r="B12" s="2" t="s">
        <v>18</v>
      </c>
      <c r="C12" s="4" t="s">
        <v>129</v>
      </c>
      <c r="D12" s="23" t="s">
        <v>62</v>
      </c>
      <c r="E12" s="23" t="s">
        <v>57</v>
      </c>
      <c r="F12">
        <v>43.75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350</v>
      </c>
      <c r="K12">
        <f t="shared" si="8"/>
        <v>157.5</v>
      </c>
      <c r="L12">
        <f t="shared" si="9"/>
        <v>507.5</v>
      </c>
    </row>
    <row r="13" spans="1:12">
      <c r="A13" t="s">
        <v>106</v>
      </c>
      <c r="B13" s="2" t="s">
        <v>18</v>
      </c>
      <c r="C13" s="4" t="s">
        <v>131</v>
      </c>
      <c r="D13" s="23" t="s">
        <v>62</v>
      </c>
      <c r="E13" s="23" t="s">
        <v>57</v>
      </c>
      <c r="F13">
        <v>43.75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350</v>
      </c>
      <c r="K13">
        <f t="shared" si="8"/>
        <v>157.5</v>
      </c>
      <c r="L13">
        <f t="shared" si="9"/>
        <v>507.5</v>
      </c>
    </row>
    <row r="14" spans="1:12">
      <c r="A14" t="s">
        <v>106</v>
      </c>
      <c r="B14" s="2" t="s">
        <v>18</v>
      </c>
      <c r="C14" s="4" t="s">
        <v>132</v>
      </c>
      <c r="D14" s="23" t="s">
        <v>62</v>
      </c>
      <c r="E14" s="23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350</v>
      </c>
      <c r="K14">
        <f t="shared" si="8"/>
        <v>157.5</v>
      </c>
      <c r="L14">
        <f t="shared" si="9"/>
        <v>507.5</v>
      </c>
    </row>
    <row r="15" spans="1:12">
      <c r="A15" t="s">
        <v>106</v>
      </c>
      <c r="B15" s="2" t="s">
        <v>18</v>
      </c>
      <c r="C15" s="4" t="s">
        <v>133</v>
      </c>
      <c r="D15" s="23" t="s">
        <v>31</v>
      </c>
      <c r="E15" s="23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106</v>
      </c>
      <c r="B16" s="2" t="s">
        <v>18</v>
      </c>
      <c r="C16" s="4" t="s">
        <v>134</v>
      </c>
      <c r="D16" s="23" t="s">
        <v>62</v>
      </c>
      <c r="E16" s="23" t="s">
        <v>146</v>
      </c>
      <c r="F16">
        <v>43.75</v>
      </c>
      <c r="G16">
        <f t="shared" ref="G16" si="12">(E16-D16)*24</f>
        <v>5.0000000000000009</v>
      </c>
      <c r="H16">
        <f t="shared" ref="H16" si="13">MIN(G16,8)</f>
        <v>5.0000000000000009</v>
      </c>
      <c r="I16" s="7">
        <f t="shared" ref="I16" si="14">IF(MAX(G16-8,0) - 1 &lt; 0, 0, MAX(G16-8,0) - 1)</f>
        <v>0</v>
      </c>
      <c r="J16">
        <f t="shared" ref="J16" si="15">H16*F16</f>
        <v>218.75000000000003</v>
      </c>
      <c r="K16">
        <f t="shared" ref="K16" si="16">I16*F16*1.2</f>
        <v>0</v>
      </c>
      <c r="L16">
        <f t="shared" ref="L16" si="17">J16+K16</f>
        <v>218.75000000000003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106</v>
      </c>
      <c r="B23" s="8">
        <f>SUM(J2:J21)</f>
        <v>2865.625</v>
      </c>
      <c r="C23" s="8">
        <f>SUM(K2:K21)</f>
        <v>1102.5</v>
      </c>
      <c r="D23" s="8">
        <f>SUM(L2:L21)</f>
        <v>3968.125</v>
      </c>
    </row>
    <row r="31" spans="1:4" ht="21.6" customHeight="1">
      <c r="A31" s="34" t="s">
        <v>39</v>
      </c>
      <c r="B31" s="34"/>
      <c r="C31" s="15"/>
      <c r="D31" s="9"/>
    </row>
    <row r="32" spans="1:4">
      <c r="A32" s="10" t="s">
        <v>40</v>
      </c>
      <c r="B32" s="11" t="s">
        <v>106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C8+1</f>
        <v>46150</v>
      </c>
      <c r="C34" s="16"/>
    </row>
    <row r="35" spans="1:3">
      <c r="A35" s="10" t="s">
        <v>50</v>
      </c>
      <c r="B35" s="10" t="str">
        <f>Kent!B34</f>
        <v>Jun-1 to Jun-15, 2026</v>
      </c>
      <c r="C35" s="16"/>
    </row>
    <row r="36" spans="1:3">
      <c r="A36" s="10" t="s">
        <v>63</v>
      </c>
      <c r="B36" s="10">
        <f>COUNTIF(D2:D16,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2865.625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1102.5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3968.125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3968.125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C38" sqref="C3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19</v>
      </c>
      <c r="C2" s="29" t="s">
        <v>111</v>
      </c>
      <c r="D2" s="30" t="s">
        <v>62</v>
      </c>
      <c r="E2" s="30" t="s">
        <v>60</v>
      </c>
      <c r="F2">
        <v>37.5</v>
      </c>
      <c r="G2">
        <f t="shared" ref="G2:G8" si="0">(E2-D2)*24</f>
        <v>8</v>
      </c>
      <c r="H2">
        <f>MIN(G2,8)</f>
        <v>8</v>
      </c>
      <c r="I2" s="7">
        <f>IF(MAX(G2-9,0) - 1 &lt; 0, 0, MAX(G2-9,0)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>
      <c r="A3" t="s">
        <v>12</v>
      </c>
      <c r="B3" s="2" t="s">
        <v>19</v>
      </c>
      <c r="C3" s="29" t="s">
        <v>112</v>
      </c>
      <c r="D3" s="30" t="s">
        <v>118</v>
      </c>
      <c r="E3" s="30" t="s">
        <v>57</v>
      </c>
      <c r="F3">
        <v>37.5</v>
      </c>
      <c r="G3">
        <f t="shared" si="0"/>
        <v>11.533333333333333</v>
      </c>
      <c r="H3">
        <f t="shared" ref="H3:H8" si="4">MIN(G3,8)</f>
        <v>8</v>
      </c>
      <c r="I3" s="7">
        <f t="shared" ref="I3:I6" si="5">IF(MAX(G3-9,0) - 1 &lt; 0, 0, MAX(G3-9,0) - 1)</f>
        <v>1.5333333333333332</v>
      </c>
      <c r="J3">
        <f t="shared" si="1"/>
        <v>300</v>
      </c>
      <c r="K3">
        <f t="shared" si="2"/>
        <v>68.999999999999986</v>
      </c>
      <c r="L3">
        <f t="shared" si="3"/>
        <v>369</v>
      </c>
    </row>
    <row r="4" spans="1:12">
      <c r="A4" t="s">
        <v>12</v>
      </c>
      <c r="B4" s="2" t="s">
        <v>19</v>
      </c>
      <c r="C4" s="29" t="s">
        <v>113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2</v>
      </c>
      <c r="J4">
        <f t="shared" si="1"/>
        <v>300</v>
      </c>
      <c r="K4">
        <f t="shared" si="2"/>
        <v>90</v>
      </c>
      <c r="L4">
        <f t="shared" si="3"/>
        <v>390</v>
      </c>
    </row>
    <row r="5" spans="1:12">
      <c r="A5" t="s">
        <v>12</v>
      </c>
      <c r="B5" s="2" t="s">
        <v>19</v>
      </c>
      <c r="C5" s="29" t="s">
        <v>114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12</v>
      </c>
      <c r="B6" s="2" t="s">
        <v>19</v>
      </c>
      <c r="C6" s="29" t="s">
        <v>115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12</v>
      </c>
      <c r="B7" s="2" t="s">
        <v>19</v>
      </c>
      <c r="C7" s="29" t="s">
        <v>116</v>
      </c>
      <c r="D7" s="30" t="s">
        <v>31</v>
      </c>
      <c r="E7" s="30" t="s">
        <v>31</v>
      </c>
      <c r="F7">
        <v>37.5</v>
      </c>
      <c r="G7">
        <f t="shared" si="0"/>
        <v>0</v>
      </c>
      <c r="H7">
        <f t="shared" si="4"/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19</v>
      </c>
      <c r="C8" s="29" t="s">
        <v>117</v>
      </c>
      <c r="D8" s="30" t="s">
        <v>31</v>
      </c>
      <c r="E8" s="30" t="s">
        <v>31</v>
      </c>
      <c r="F8">
        <v>37.5</v>
      </c>
      <c r="G8">
        <f t="shared" si="0"/>
        <v>0</v>
      </c>
      <c r="H8">
        <f t="shared" si="4"/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12</v>
      </c>
      <c r="B15" s="8">
        <f>SUM(J2:J13)</f>
        <v>900</v>
      </c>
      <c r="C15" s="8">
        <f>SUM(K2:K13)</f>
        <v>159</v>
      </c>
      <c r="D15" s="8">
        <f>SUM(L2:L13)</f>
        <v>1059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Jay Anne</v>
      </c>
      <c r="C24" s="16"/>
    </row>
    <row r="25" spans="1:4">
      <c r="A25" s="10" t="s">
        <v>41</v>
      </c>
      <c r="B25" s="11" t="s">
        <v>56</v>
      </c>
      <c r="C25" s="16"/>
    </row>
    <row r="26" spans="1:4">
      <c r="A26" s="10" t="s">
        <v>42</v>
      </c>
      <c r="B26" s="12">
        <f>C8+1</f>
        <v>46146</v>
      </c>
      <c r="C26" s="16"/>
    </row>
    <row r="27" spans="1:4">
      <c r="A27" s="10" t="s">
        <v>50</v>
      </c>
      <c r="B27" s="10" t="str">
        <f>Kent!B34</f>
        <v>Jun-1 to Jun-15, 2026</v>
      </c>
      <c r="C27" s="16"/>
    </row>
    <row r="28" spans="1:4">
      <c r="A28" s="10" t="s">
        <v>63</v>
      </c>
      <c r="B28" s="10">
        <f>COUNTIF(D2:D8, "*:*")</f>
        <v>3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900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159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1059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1059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762-8BD6-46BC-939F-2D11EC980FB3}">
  <dimension ref="A1:L48"/>
  <sheetViews>
    <sheetView topLeftCell="A25" workbookViewId="0">
      <selection activeCell="B34" sqref="B3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121</v>
      </c>
      <c r="B2" s="2" t="s">
        <v>18</v>
      </c>
      <c r="C2" s="29" t="s">
        <v>147</v>
      </c>
      <c r="D2" s="23" t="s">
        <v>31</v>
      </c>
      <c r="E2" s="23" t="s">
        <v>31</v>
      </c>
      <c r="F2">
        <v>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121</v>
      </c>
      <c r="B3" s="2" t="s">
        <v>18</v>
      </c>
      <c r="C3" s="29" t="s">
        <v>149</v>
      </c>
      <c r="D3" s="23" t="s">
        <v>62</v>
      </c>
      <c r="E3" s="23" t="s">
        <v>140</v>
      </c>
      <c r="F3">
        <v>25</v>
      </c>
      <c r="G3">
        <f t="shared" si="0"/>
        <v>12.25</v>
      </c>
      <c r="H3">
        <f t="shared" ref="H3:H8" si="4">MIN(G3,8)</f>
        <v>8</v>
      </c>
      <c r="I3" s="7">
        <f t="shared" ref="I3:I8" si="5">IF(MAX(G3-8,0) - 1 &lt; 0, 0, MAX(G3-8,0) - 1)</f>
        <v>3.25</v>
      </c>
      <c r="J3">
        <f t="shared" si="1"/>
        <v>200</v>
      </c>
      <c r="K3">
        <f t="shared" si="2"/>
        <v>97.5</v>
      </c>
      <c r="L3">
        <f t="shared" si="3"/>
        <v>297.5</v>
      </c>
    </row>
    <row r="4" spans="1:12">
      <c r="A4" t="s">
        <v>121</v>
      </c>
      <c r="B4" s="2" t="s">
        <v>18</v>
      </c>
      <c r="C4" s="29" t="s">
        <v>150</v>
      </c>
      <c r="D4" s="23" t="s">
        <v>62</v>
      </c>
      <c r="E4" s="30" t="s">
        <v>60</v>
      </c>
      <c r="F4">
        <v>25</v>
      </c>
      <c r="G4">
        <f t="shared" si="0"/>
        <v>8</v>
      </c>
      <c r="H4">
        <f t="shared" si="4"/>
        <v>8</v>
      </c>
      <c r="I4" s="7">
        <f t="shared" si="5"/>
        <v>0</v>
      </c>
      <c r="J4">
        <f t="shared" si="1"/>
        <v>200</v>
      </c>
      <c r="K4">
        <f t="shared" si="2"/>
        <v>0</v>
      </c>
      <c r="L4">
        <f t="shared" si="3"/>
        <v>200</v>
      </c>
    </row>
    <row r="5" spans="1:12">
      <c r="A5" t="s">
        <v>121</v>
      </c>
      <c r="B5" s="2" t="s">
        <v>18</v>
      </c>
      <c r="C5" s="29" t="s">
        <v>151</v>
      </c>
      <c r="D5" s="23" t="s">
        <v>31</v>
      </c>
      <c r="E5" s="23" t="s">
        <v>31</v>
      </c>
      <c r="F5">
        <v>25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121</v>
      </c>
      <c r="B6" s="2" t="s">
        <v>18</v>
      </c>
      <c r="C6" s="29" t="s">
        <v>152</v>
      </c>
      <c r="D6" s="23" t="s">
        <v>60</v>
      </c>
      <c r="E6" s="23" t="s">
        <v>140</v>
      </c>
      <c r="F6">
        <v>25</v>
      </c>
      <c r="G6">
        <f t="shared" si="0"/>
        <v>4.2499999999999982</v>
      </c>
      <c r="H6">
        <f t="shared" si="4"/>
        <v>4.2499999999999982</v>
      </c>
      <c r="I6" s="7">
        <f t="shared" si="5"/>
        <v>0</v>
      </c>
      <c r="J6">
        <f t="shared" si="1"/>
        <v>106.24999999999996</v>
      </c>
      <c r="K6">
        <f t="shared" si="2"/>
        <v>0</v>
      </c>
      <c r="L6">
        <f t="shared" si="3"/>
        <v>106.24999999999996</v>
      </c>
    </row>
    <row r="7" spans="1:12">
      <c r="A7" t="s">
        <v>121</v>
      </c>
      <c r="B7" s="2" t="s">
        <v>18</v>
      </c>
      <c r="C7" s="29" t="s">
        <v>153</v>
      </c>
      <c r="D7" s="23" t="s">
        <v>60</v>
      </c>
      <c r="E7" s="23" t="s">
        <v>140</v>
      </c>
      <c r="F7">
        <v>25</v>
      </c>
      <c r="G7">
        <f t="shared" si="0"/>
        <v>4.2499999999999982</v>
      </c>
      <c r="H7">
        <f t="shared" si="4"/>
        <v>4.2499999999999982</v>
      </c>
      <c r="I7" s="7">
        <f t="shared" si="5"/>
        <v>0</v>
      </c>
      <c r="J7">
        <f t="shared" si="1"/>
        <v>106.24999999999996</v>
      </c>
      <c r="K7">
        <f t="shared" si="2"/>
        <v>0</v>
      </c>
      <c r="L7">
        <f t="shared" si="3"/>
        <v>106.24999999999996</v>
      </c>
    </row>
    <row r="8" spans="1:12">
      <c r="A8" t="s">
        <v>121</v>
      </c>
      <c r="B8" s="2" t="s">
        <v>18</v>
      </c>
      <c r="C8" s="29" t="s">
        <v>155</v>
      </c>
      <c r="D8" s="23" t="s">
        <v>60</v>
      </c>
      <c r="E8" s="23" t="s">
        <v>54</v>
      </c>
      <c r="F8">
        <v>25</v>
      </c>
      <c r="G8">
        <f t="shared" si="0"/>
        <v>4.5</v>
      </c>
      <c r="H8">
        <f t="shared" si="4"/>
        <v>4.5</v>
      </c>
      <c r="I8" s="7">
        <f t="shared" si="5"/>
        <v>0</v>
      </c>
      <c r="J8">
        <f t="shared" si="1"/>
        <v>112.5</v>
      </c>
      <c r="K8">
        <f t="shared" si="2"/>
        <v>0</v>
      </c>
      <c r="L8">
        <f t="shared" si="3"/>
        <v>112.5</v>
      </c>
    </row>
    <row r="9" spans="1:12">
      <c r="A9" t="s">
        <v>121</v>
      </c>
      <c r="B9" s="2" t="s">
        <v>18</v>
      </c>
      <c r="C9" s="29" t="s">
        <v>156</v>
      </c>
      <c r="D9" s="23" t="s">
        <v>62</v>
      </c>
      <c r="E9" s="23" t="s">
        <v>140</v>
      </c>
      <c r="F9">
        <v>25</v>
      </c>
      <c r="G9">
        <f t="shared" ref="G9:G15" si="6">(E9-D9)*24</f>
        <v>12.25</v>
      </c>
      <c r="H9">
        <f>MIN(G9,8)</f>
        <v>8</v>
      </c>
      <c r="I9" s="7">
        <f>IF(MAX(G9-8,0) - 1 &lt; 0, 0, MAX(G9-8,0) - 1)</f>
        <v>3.25</v>
      </c>
      <c r="J9">
        <f t="shared" ref="J9:J15" si="7">H9*F9</f>
        <v>200</v>
      </c>
      <c r="K9">
        <f t="shared" ref="K9:K15" si="8">I9*F9*1.2</f>
        <v>97.5</v>
      </c>
      <c r="L9">
        <f t="shared" ref="L9:L15" si="9">J9+K9</f>
        <v>297.5</v>
      </c>
    </row>
    <row r="10" spans="1:12">
      <c r="A10" t="s">
        <v>121</v>
      </c>
      <c r="B10" s="2" t="s">
        <v>18</v>
      </c>
      <c r="C10" s="29" t="s">
        <v>157</v>
      </c>
      <c r="D10" s="23" t="s">
        <v>62</v>
      </c>
      <c r="E10" s="23" t="s">
        <v>54</v>
      </c>
      <c r="F10">
        <v>25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>
        <f t="shared" si="7"/>
        <v>200</v>
      </c>
      <c r="K10">
        <f t="shared" si="8"/>
        <v>105</v>
      </c>
      <c r="L10">
        <f t="shared" si="9"/>
        <v>305</v>
      </c>
    </row>
    <row r="11" spans="1:12">
      <c r="A11" t="s">
        <v>121</v>
      </c>
      <c r="B11" s="2" t="s">
        <v>18</v>
      </c>
      <c r="C11" s="29" t="s">
        <v>158</v>
      </c>
      <c r="D11" s="23" t="s">
        <v>62</v>
      </c>
      <c r="E11" s="23" t="s">
        <v>140</v>
      </c>
      <c r="F11">
        <v>25</v>
      </c>
      <c r="G11">
        <f t="shared" si="6"/>
        <v>12.25</v>
      </c>
      <c r="H11">
        <f t="shared" si="10"/>
        <v>8</v>
      </c>
      <c r="I11" s="7">
        <f t="shared" si="11"/>
        <v>3.25</v>
      </c>
      <c r="J11">
        <f t="shared" si="7"/>
        <v>200</v>
      </c>
      <c r="K11">
        <f t="shared" si="8"/>
        <v>97.5</v>
      </c>
      <c r="L11">
        <f t="shared" si="9"/>
        <v>297.5</v>
      </c>
    </row>
    <row r="12" spans="1:12">
      <c r="A12" t="s">
        <v>121</v>
      </c>
      <c r="B12" s="2" t="s">
        <v>18</v>
      </c>
      <c r="C12" s="29" t="s">
        <v>160</v>
      </c>
      <c r="D12" s="23" t="s">
        <v>62</v>
      </c>
      <c r="E12" s="23" t="s">
        <v>140</v>
      </c>
      <c r="F12">
        <v>25</v>
      </c>
      <c r="G12">
        <f t="shared" si="6"/>
        <v>12.25</v>
      </c>
      <c r="H12">
        <f t="shared" si="10"/>
        <v>8</v>
      </c>
      <c r="I12" s="7">
        <f t="shared" si="11"/>
        <v>3.25</v>
      </c>
      <c r="J12">
        <f t="shared" si="7"/>
        <v>200</v>
      </c>
      <c r="K12">
        <f t="shared" si="8"/>
        <v>97.5</v>
      </c>
      <c r="L12">
        <f t="shared" si="9"/>
        <v>297.5</v>
      </c>
    </row>
    <row r="13" spans="1:12">
      <c r="A13" t="s">
        <v>121</v>
      </c>
      <c r="B13" s="2" t="s">
        <v>18</v>
      </c>
      <c r="C13" s="29" t="s">
        <v>161</v>
      </c>
      <c r="D13" s="23" t="s">
        <v>31</v>
      </c>
      <c r="E13" s="23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121</v>
      </c>
      <c r="B14" s="2" t="s">
        <v>18</v>
      </c>
      <c r="C14" s="29" t="s">
        <v>162</v>
      </c>
      <c r="D14" s="23" t="s">
        <v>62</v>
      </c>
      <c r="E14" s="23" t="s">
        <v>60</v>
      </c>
      <c r="F14">
        <v>25</v>
      </c>
      <c r="G14">
        <f t="shared" si="6"/>
        <v>8</v>
      </c>
      <c r="H14">
        <f t="shared" si="10"/>
        <v>8</v>
      </c>
      <c r="I14" s="7">
        <f t="shared" si="11"/>
        <v>0</v>
      </c>
      <c r="J14">
        <f t="shared" si="7"/>
        <v>200</v>
      </c>
      <c r="K14">
        <f t="shared" si="8"/>
        <v>0</v>
      </c>
      <c r="L14">
        <f t="shared" si="9"/>
        <v>200</v>
      </c>
    </row>
    <row r="15" spans="1:12">
      <c r="A15" t="s">
        <v>121</v>
      </c>
      <c r="B15" s="2" t="s">
        <v>18</v>
      </c>
      <c r="C15" s="29" t="s">
        <v>163</v>
      </c>
      <c r="D15" s="23" t="s">
        <v>62</v>
      </c>
      <c r="E15" s="23" t="s">
        <v>140</v>
      </c>
      <c r="F15">
        <v>37.5</v>
      </c>
      <c r="G15">
        <f t="shared" si="6"/>
        <v>12.25</v>
      </c>
      <c r="H15">
        <f t="shared" si="10"/>
        <v>8</v>
      </c>
      <c r="I15" s="7">
        <f t="shared" si="11"/>
        <v>3.25</v>
      </c>
      <c r="J15">
        <f t="shared" si="7"/>
        <v>300</v>
      </c>
      <c r="K15">
        <f t="shared" si="8"/>
        <v>146.25</v>
      </c>
      <c r="L15">
        <f t="shared" si="9"/>
        <v>446.25</v>
      </c>
    </row>
    <row r="16" spans="1:12">
      <c r="A16" t="s">
        <v>121</v>
      </c>
      <c r="B16" s="2" t="s">
        <v>18</v>
      </c>
      <c r="C16" s="29" t="s">
        <v>164</v>
      </c>
      <c r="D16" s="23" t="s">
        <v>62</v>
      </c>
      <c r="E16" s="23" t="s">
        <v>140</v>
      </c>
      <c r="F16">
        <v>37.5</v>
      </c>
      <c r="G16">
        <f t="shared" ref="G16" si="12">(E16-D16)*24</f>
        <v>12.25</v>
      </c>
      <c r="H16">
        <f t="shared" ref="H16" si="13">MIN(G16,8)</f>
        <v>8</v>
      </c>
      <c r="I16" s="7">
        <f t="shared" ref="I16" si="14">IF(MAX(G16-8,0) - 1 &lt; 0, 0, MAX(G16-8,0) - 1)</f>
        <v>3.25</v>
      </c>
      <c r="J16">
        <f t="shared" ref="J16" si="15">H16*F16</f>
        <v>300</v>
      </c>
      <c r="K16">
        <f t="shared" ref="K16" si="16">I16*F16*1.2</f>
        <v>146.25</v>
      </c>
      <c r="L16">
        <f t="shared" ref="L16" si="17">J16+K16</f>
        <v>446.25</v>
      </c>
    </row>
    <row r="17" spans="1:12">
      <c r="A17" t="s">
        <v>121</v>
      </c>
      <c r="B17" s="2" t="s">
        <v>18</v>
      </c>
      <c r="C17" s="29" t="s">
        <v>165</v>
      </c>
      <c r="D17" s="23" t="s">
        <v>31</v>
      </c>
      <c r="E17" s="23" t="s">
        <v>31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>
        <f t="shared" ref="J17" si="21">H17*F17</f>
        <v>0</v>
      </c>
      <c r="K17">
        <f t="shared" ref="K17" si="22">I17*F17*1.2</f>
        <v>0</v>
      </c>
      <c r="L17">
        <f t="shared" ref="L17" si="23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121</v>
      </c>
      <c r="B23" s="8">
        <f>SUM(J2:J21)</f>
        <v>2325</v>
      </c>
      <c r="C23" s="8">
        <f>SUM(K2:K21)</f>
        <v>787.5</v>
      </c>
      <c r="D23" s="8">
        <f>SUM(L2:L21)</f>
        <v>3112.5</v>
      </c>
    </row>
    <row r="31" spans="1:12" ht="21.6" customHeight="1">
      <c r="A31" s="34" t="s">
        <v>39</v>
      </c>
      <c r="B31" s="34"/>
      <c r="C31" s="15"/>
      <c r="D31" s="9"/>
    </row>
    <row r="32" spans="1:12">
      <c r="A32" s="10" t="s">
        <v>40</v>
      </c>
      <c r="B32" s="11" t="str">
        <f>A2</f>
        <v>Sheen Valles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46178</v>
      </c>
      <c r="C34" s="16"/>
    </row>
    <row r="35" spans="1:3">
      <c r="A35" s="10" t="s">
        <v>50</v>
      </c>
      <c r="B35" s="10" t="str">
        <f>Kent!B34</f>
        <v>Jun-1 to Jun-15, 2026</v>
      </c>
      <c r="C35" s="16"/>
    </row>
    <row r="36" spans="1:3">
      <c r="A36" s="10" t="s">
        <v>63</v>
      </c>
      <c r="B36" s="10">
        <f>COUNTIF(D2:D17, "*:*")</f>
        <v>12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2325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787.5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3112.5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3112.5</v>
      </c>
      <c r="C48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18</v>
      </c>
      <c r="C2" s="29" t="s">
        <v>93</v>
      </c>
      <c r="D2" s="5" t="s">
        <v>30</v>
      </c>
      <c r="E2" s="5" t="s">
        <v>86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18</v>
      </c>
      <c r="C3" s="29" t="s">
        <v>87</v>
      </c>
      <c r="D3" s="5" t="s">
        <v>30</v>
      </c>
      <c r="E3" s="5" t="s">
        <v>60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18</v>
      </c>
      <c r="C4" s="29" t="s">
        <v>88</v>
      </c>
      <c r="D4" s="5" t="s">
        <v>30</v>
      </c>
      <c r="E4" s="5" t="s">
        <v>65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18</v>
      </c>
      <c r="C5" s="29" t="s">
        <v>89</v>
      </c>
      <c r="D5" s="5" t="s">
        <v>30</v>
      </c>
      <c r="E5" s="5" t="s">
        <v>54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18</v>
      </c>
      <c r="C6" s="29" t="s">
        <v>90</v>
      </c>
      <c r="D6" s="5" t="s">
        <v>31</v>
      </c>
      <c r="E6" s="5" t="s">
        <v>31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18</v>
      </c>
      <c r="C7" s="29" t="s">
        <v>91</v>
      </c>
      <c r="D7" s="5" t="s">
        <v>31</v>
      </c>
      <c r="E7" s="5" t="s">
        <v>31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18</v>
      </c>
      <c r="C8" s="29" t="s">
        <v>92</v>
      </c>
      <c r="D8" s="5" t="s">
        <v>31</v>
      </c>
      <c r="E8" s="5" t="s">
        <v>31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Chadiyah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46083</v>
      </c>
      <c r="C26" s="16"/>
    </row>
    <row r="27" spans="1:4">
      <c r="A27" s="10" t="s">
        <v>50</v>
      </c>
      <c r="B27" s="10" t="str">
        <f>Kent!B34</f>
        <v>Jun-1 to Jun-15, 2026</v>
      </c>
      <c r="C27" s="16"/>
    </row>
    <row r="28" spans="1:4">
      <c r="A28" s="10" t="s">
        <v>63</v>
      </c>
      <c r="B28" s="10">
        <f>COUNTIF(D2:D8, "*:*")</f>
        <v>4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1162.1199999999999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1305.6759999999999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28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58</v>
      </c>
      <c r="B2" s="2" t="s">
        <v>59</v>
      </c>
      <c r="C2" s="4" t="s">
        <v>72</v>
      </c>
      <c r="D2" s="23" t="s">
        <v>31</v>
      </c>
      <c r="E2" s="23" t="s">
        <v>31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58</v>
      </c>
      <c r="B3" s="2" t="s">
        <v>59</v>
      </c>
      <c r="C3" s="4" t="s">
        <v>74</v>
      </c>
      <c r="D3" s="23" t="s">
        <v>31</v>
      </c>
      <c r="E3" s="23" t="s">
        <v>31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58</v>
      </c>
      <c r="B4" s="2" t="s">
        <v>59</v>
      </c>
      <c r="C4" s="4" t="s">
        <v>75</v>
      </c>
      <c r="D4" s="23" t="s">
        <v>60</v>
      </c>
      <c r="E4" s="23" t="s">
        <v>57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58</v>
      </c>
      <c r="B5" s="2" t="s">
        <v>59</v>
      </c>
      <c r="C5" s="4" t="s">
        <v>76</v>
      </c>
      <c r="D5" s="23" t="s">
        <v>60</v>
      </c>
      <c r="E5" s="23" t="s">
        <v>57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58</v>
      </c>
      <c r="B6" s="2" t="s">
        <v>59</v>
      </c>
      <c r="C6" s="4" t="s">
        <v>77</v>
      </c>
      <c r="D6" s="23" t="s">
        <v>60</v>
      </c>
      <c r="E6" s="23" t="s">
        <v>57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58</v>
      </c>
      <c r="B7" s="25" t="s">
        <v>61</v>
      </c>
      <c r="C7" s="4" t="s">
        <v>78</v>
      </c>
      <c r="D7" s="23" t="s">
        <v>79</v>
      </c>
      <c r="E7" s="23" t="s">
        <v>57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58</v>
      </c>
      <c r="B8" s="25" t="s">
        <v>61</v>
      </c>
      <c r="C8" s="4" t="s">
        <v>80</v>
      </c>
      <c r="D8" s="23" t="s">
        <v>81</v>
      </c>
      <c r="E8" s="23" t="s">
        <v>57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Lenard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46076</v>
      </c>
      <c r="C26" s="16"/>
    </row>
    <row r="27" spans="1:4">
      <c r="A27" s="10" t="s">
        <v>50</v>
      </c>
      <c r="B27" s="10" t="str">
        <f>Kent!B34</f>
        <v>Jun-1 to Jun-15, 2026</v>
      </c>
      <c r="C27" s="16"/>
    </row>
    <row r="28" spans="1:4">
      <c r="A28" s="10" t="s">
        <v>63</v>
      </c>
      <c r="B28" s="10">
        <f>COUNTIF(D2:D8, "*:*")</f>
        <v>5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658.08233333333317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746.1035333333333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38</v>
      </c>
      <c r="B2" s="2" t="s">
        <v>18</v>
      </c>
      <c r="C2" s="4" t="s">
        <v>22</v>
      </c>
      <c r="D2" s="5" t="s">
        <v>30</v>
      </c>
      <c r="E2" s="5" t="s">
        <v>29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38</v>
      </c>
      <c r="B3" s="2" t="s">
        <v>18</v>
      </c>
      <c r="C3" s="4" t="s">
        <v>23</v>
      </c>
      <c r="D3" s="5" t="s">
        <v>30</v>
      </c>
      <c r="E3" s="5" t="s">
        <v>29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38</v>
      </c>
      <c r="B4" s="2" t="s">
        <v>18</v>
      </c>
      <c r="C4" s="4" t="s">
        <v>24</v>
      </c>
      <c r="D4" s="5" t="s">
        <v>30</v>
      </c>
      <c r="E4" s="5" t="s">
        <v>29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38</v>
      </c>
      <c r="B5" s="2" t="s">
        <v>18</v>
      </c>
      <c r="C5" s="4" t="s">
        <v>25</v>
      </c>
      <c r="D5" s="5" t="s">
        <v>30</v>
      </c>
      <c r="E5" s="5" t="s">
        <v>29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38</v>
      </c>
      <c r="B6" s="2" t="s">
        <v>18</v>
      </c>
      <c r="C6" s="4" t="s">
        <v>26</v>
      </c>
      <c r="D6" s="5" t="s">
        <v>30</v>
      </c>
      <c r="E6" s="5" t="s">
        <v>29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38</v>
      </c>
      <c r="B7" s="2" t="s">
        <v>18</v>
      </c>
      <c r="C7" s="4" t="s">
        <v>27</v>
      </c>
      <c r="D7" s="5" t="s">
        <v>30</v>
      </c>
      <c r="E7" s="5" t="s">
        <v>29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38</v>
      </c>
      <c r="B8" s="2" t="s">
        <v>18</v>
      </c>
      <c r="C8" s="4" t="s">
        <v>28</v>
      </c>
      <c r="D8" s="5" t="s">
        <v>30</v>
      </c>
      <c r="E8" s="5" t="s">
        <v>29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Name</v>
      </c>
      <c r="C24" s="16"/>
    </row>
    <row r="25" spans="1:4">
      <c r="A25" s="10" t="s">
        <v>41</v>
      </c>
      <c r="B25" s="11" t="s">
        <v>49</v>
      </c>
      <c r="C25" s="16"/>
    </row>
    <row r="26" spans="1:4">
      <c r="A26" s="10" t="s">
        <v>42</v>
      </c>
      <c r="B26" s="12">
        <v>46041</v>
      </c>
      <c r="C26" s="16"/>
    </row>
    <row r="27" spans="1:4">
      <c r="A27" s="10" t="s">
        <v>50</v>
      </c>
      <c r="B27" s="10" t="s">
        <v>51</v>
      </c>
      <c r="C27" s="16"/>
    </row>
    <row r="28" spans="1:4">
      <c r="A28" s="10"/>
      <c r="B28" s="10"/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2692.2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3499.86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20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20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21</v>
      </c>
    </row>
    <row r="4" spans="1:13">
      <c r="A4" t="s">
        <v>13</v>
      </c>
      <c r="B4" s="2">
        <v>46027</v>
      </c>
      <c r="C4" s="2" t="s">
        <v>20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20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20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20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20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20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>
        <v>46027</v>
      </c>
      <c r="C2" s="2"/>
      <c r="D2" s="1"/>
      <c r="E2" s="1"/>
    </row>
    <row r="3" spans="1:12">
      <c r="A3" t="s">
        <v>16</v>
      </c>
      <c r="B3" s="2">
        <v>46028</v>
      </c>
      <c r="C3" s="2"/>
      <c r="D3" s="1"/>
      <c r="E3" s="1"/>
    </row>
    <row r="4" spans="1:12">
      <c r="A4" t="s">
        <v>16</v>
      </c>
      <c r="B4" s="2">
        <v>46029</v>
      </c>
      <c r="C4" s="2"/>
      <c r="D4" s="1"/>
      <c r="E4" s="1"/>
    </row>
    <row r="5" spans="1:12">
      <c r="A5" t="s">
        <v>16</v>
      </c>
      <c r="B5" s="2">
        <v>46030</v>
      </c>
      <c r="C5" s="2"/>
      <c r="D5" s="1"/>
      <c r="E5" s="1"/>
    </row>
    <row r="6" spans="1:12">
      <c r="A6" t="s">
        <v>16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16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16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Payslip</vt:lpstr>
      <vt:lpstr>Summary</vt:lpstr>
      <vt:lpstr>Micky</vt:lpstr>
      <vt:lpstr>Kent</vt:lpstr>
      <vt:lpstr>Renelyn</vt:lpstr>
      <vt:lpstr>Cherry</vt:lpstr>
      <vt:lpstr>Mark</vt:lpstr>
      <vt:lpstr>Kim</vt:lpstr>
      <vt:lpstr>David</vt:lpstr>
      <vt:lpstr>Kris</vt:lpstr>
      <vt:lpstr>Pepito</vt:lpstr>
      <vt:lpstr>Jay Anne</vt:lpstr>
      <vt:lpstr>Sheen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2026-06-19T07:40:02Z</cp:lastPrinted>
  <dcterms:created xsi:type="dcterms:W3CDTF">2025-12-15T10:27:30Z</dcterms:created>
  <dcterms:modified xsi:type="dcterms:W3CDTF">2026-06-19T15:05:19Z</dcterms:modified>
</cp:coreProperties>
</file>