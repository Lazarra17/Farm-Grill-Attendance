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Farm-Grill-Attendance\07-16-31\"/>
    </mc:Choice>
  </mc:AlternateContent>
  <xr:revisionPtr revIDLastSave="0" documentId="13_ncr:1_{50548105-9754-4FF1-BFE6-E4EC17DDAAEB}" xr6:coauthVersionLast="47" xr6:coauthVersionMax="47" xr10:uidLastSave="{00000000-0000-0000-0000-000000000000}"/>
  <bookViews>
    <workbookView xWindow="-108" yWindow="-108" windowWidth="23256" windowHeight="13896" xr2:uid="{00BF821E-BFB9-4523-9564-A672F7161683}"/>
  </bookViews>
  <sheets>
    <sheet name="Payslip" sheetId="15" r:id="rId1"/>
    <sheet name="Summary" sheetId="17" r:id="rId2"/>
    <sheet name="Micky" sheetId="19" r:id="rId3"/>
    <sheet name="Monico" sheetId="25" r:id="rId4"/>
    <sheet name="Renelyn" sheetId="22" r:id="rId5"/>
    <sheet name="Cherry" sheetId="5" r:id="rId6"/>
    <sheet name="Marlon" sheetId="4" r:id="rId7"/>
    <sheet name="Lino" sheetId="24" r:id="rId8"/>
    <sheet name="Nino" sheetId="7" r:id="rId9"/>
    <sheet name="Ralph" sheetId="11" r:id="rId10"/>
    <sheet name="David" sheetId="18" r:id="rId11"/>
    <sheet name="Kris" sheetId="2" r:id="rId12"/>
    <sheet name="Brett" sheetId="23" r:id="rId13"/>
    <sheet name="Pepito" sheetId="6" r:id="rId14"/>
    <sheet name="Jay Anne" sheetId="3" r:id="rId15"/>
    <sheet name="Sheen" sheetId="20" r:id="rId16"/>
    <sheet name="Chardiya" sheetId="1" r:id="rId17"/>
    <sheet name="Lenard" sheetId="16" r:id="rId18"/>
    <sheet name="Template" sheetId="13" r:id="rId19"/>
    <sheet name="Rhoda" sheetId="9" state="hidden" r:id="rId20"/>
    <sheet name="Kenneth" sheetId="8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6" i="15" l="1"/>
  <c r="D57" i="15"/>
  <c r="D58" i="15"/>
  <c r="E57" i="15"/>
  <c r="E58" i="15"/>
  <c r="B33" i="24"/>
  <c r="E87" i="15" s="1"/>
  <c r="B36" i="4"/>
  <c r="B35" i="5"/>
  <c r="B36" i="22"/>
  <c r="B26" i="15" s="1"/>
  <c r="B33" i="25"/>
  <c r="B36" i="19"/>
  <c r="B24" i="15"/>
  <c r="B29" i="15"/>
  <c r="B30" i="15"/>
  <c r="B31" i="15"/>
  <c r="B34" i="15"/>
  <c r="B35" i="15"/>
  <c r="B36" i="15"/>
  <c r="B37" i="15"/>
  <c r="B38" i="15"/>
  <c r="A23" i="15"/>
  <c r="A24" i="15"/>
  <c r="A25" i="15"/>
  <c r="A26" i="15"/>
  <c r="A27" i="15"/>
  <c r="A28" i="15"/>
  <c r="A29" i="15"/>
  <c r="A30" i="15"/>
  <c r="A31" i="15"/>
  <c r="A34" i="15"/>
  <c r="A35" i="15"/>
  <c r="A36" i="15"/>
  <c r="A37" i="15"/>
  <c r="A38" i="15"/>
  <c r="A22" i="15"/>
  <c r="B22" i="15"/>
  <c r="B23" i="15"/>
  <c r="B47" i="5"/>
  <c r="B44" i="19"/>
  <c r="G17" i="24"/>
  <c r="I17" i="24" s="1"/>
  <c r="K17" i="24" s="1"/>
  <c r="G16" i="24"/>
  <c r="H16" i="24" s="1"/>
  <c r="J16" i="24" s="1"/>
  <c r="G17" i="4"/>
  <c r="I17" i="4" s="1"/>
  <c r="K17" i="4" s="1"/>
  <c r="G16" i="4"/>
  <c r="H16" i="4" s="1"/>
  <c r="J16" i="4" s="1"/>
  <c r="G17" i="7"/>
  <c r="I17" i="7" s="1"/>
  <c r="K17" i="7" s="1"/>
  <c r="G17" i="5"/>
  <c r="I17" i="5" s="1"/>
  <c r="K17" i="5" s="1"/>
  <c r="G17" i="22"/>
  <c r="I17" i="22" s="1"/>
  <c r="K17" i="22" s="1"/>
  <c r="G17" i="23"/>
  <c r="I17" i="23" s="1"/>
  <c r="K17" i="23" s="1"/>
  <c r="G17" i="25"/>
  <c r="I17" i="25" s="1"/>
  <c r="K17" i="25" s="1"/>
  <c r="G17" i="11"/>
  <c r="I17" i="11" s="1"/>
  <c r="K17" i="11" s="1"/>
  <c r="G17" i="19"/>
  <c r="I17" i="19" s="1"/>
  <c r="K17" i="19" s="1"/>
  <c r="A84" i="15"/>
  <c r="B84" i="15"/>
  <c r="A85" i="15"/>
  <c r="B85" i="15"/>
  <c r="A86" i="15"/>
  <c r="A87" i="15"/>
  <c r="A88" i="15"/>
  <c r="B88" i="15"/>
  <c r="A89" i="15"/>
  <c r="A90" i="15"/>
  <c r="B90" i="15"/>
  <c r="A91" i="15"/>
  <c r="A92" i="15"/>
  <c r="B92" i="15"/>
  <c r="A95" i="15"/>
  <c r="A96" i="15"/>
  <c r="B96" i="15"/>
  <c r="A97" i="15"/>
  <c r="B97" i="15"/>
  <c r="A100" i="15"/>
  <c r="B83" i="15"/>
  <c r="A83" i="15"/>
  <c r="A3" i="15"/>
  <c r="A4" i="15"/>
  <c r="A5" i="15"/>
  <c r="A6" i="15"/>
  <c r="A7" i="15"/>
  <c r="A8" i="15"/>
  <c r="A9" i="15"/>
  <c r="A10" i="15"/>
  <c r="A11" i="15"/>
  <c r="A14" i="15"/>
  <c r="A15" i="15"/>
  <c r="A16" i="15"/>
  <c r="A17" i="15"/>
  <c r="A2" i="15"/>
  <c r="B15" i="15"/>
  <c r="B11" i="15"/>
  <c r="B9" i="15"/>
  <c r="B7" i="15"/>
  <c r="B3" i="15"/>
  <c r="E84" i="15"/>
  <c r="E88" i="15"/>
  <c r="E90" i="15"/>
  <c r="E92" i="15"/>
  <c r="D100" i="15"/>
  <c r="D84" i="15"/>
  <c r="D85" i="15"/>
  <c r="D86" i="15"/>
  <c r="D87" i="15"/>
  <c r="D88" i="15"/>
  <c r="D89" i="15"/>
  <c r="D90" i="15"/>
  <c r="D91" i="15"/>
  <c r="D92" i="15"/>
  <c r="D95" i="15"/>
  <c r="D96" i="15"/>
  <c r="D99" i="15"/>
  <c r="D83" i="15"/>
  <c r="E64" i="15"/>
  <c r="E66" i="15"/>
  <c r="E68" i="15"/>
  <c r="E70" i="15"/>
  <c r="E72" i="15"/>
  <c r="E76" i="15"/>
  <c r="E77" i="15"/>
  <c r="D80" i="15"/>
  <c r="D64" i="15"/>
  <c r="D65" i="15"/>
  <c r="D66" i="15"/>
  <c r="D67" i="15"/>
  <c r="D68" i="15"/>
  <c r="D69" i="15"/>
  <c r="D70" i="15"/>
  <c r="D71" i="15"/>
  <c r="D72" i="15"/>
  <c r="D74" i="15"/>
  <c r="D75" i="15"/>
  <c r="D76" i="15"/>
  <c r="D77" i="15"/>
  <c r="D63" i="15"/>
  <c r="E63" i="15"/>
  <c r="B35" i="22"/>
  <c r="B25" i="15" s="1"/>
  <c r="B34" i="22"/>
  <c r="E23" i="15"/>
  <c r="E27" i="15"/>
  <c r="E29" i="15"/>
  <c r="E31" i="15"/>
  <c r="E36" i="15"/>
  <c r="E26" i="15"/>
  <c r="B32" i="25"/>
  <c r="E25" i="15" s="1"/>
  <c r="B31" i="25"/>
  <c r="E24" i="15" s="1"/>
  <c r="B29" i="25"/>
  <c r="E22" i="15" s="1"/>
  <c r="G16" i="25"/>
  <c r="I16" i="25" s="1"/>
  <c r="K16" i="25" s="1"/>
  <c r="G15" i="25"/>
  <c r="H15" i="25" s="1"/>
  <c r="J15" i="25" s="1"/>
  <c r="G14" i="25"/>
  <c r="I14" i="25" s="1"/>
  <c r="K14" i="25" s="1"/>
  <c r="G13" i="25"/>
  <c r="I13" i="25" s="1"/>
  <c r="K13" i="25" s="1"/>
  <c r="G12" i="25"/>
  <c r="H12" i="25" s="1"/>
  <c r="J12" i="25" s="1"/>
  <c r="G11" i="25"/>
  <c r="I11" i="25" s="1"/>
  <c r="K11" i="25" s="1"/>
  <c r="G10" i="25"/>
  <c r="H10" i="25" s="1"/>
  <c r="J10" i="25" s="1"/>
  <c r="G9" i="25"/>
  <c r="I9" i="25" s="1"/>
  <c r="K9" i="25" s="1"/>
  <c r="G8" i="25"/>
  <c r="H8" i="25" s="1"/>
  <c r="J8" i="25" s="1"/>
  <c r="G7" i="25"/>
  <c r="I7" i="25" s="1"/>
  <c r="K7" i="25" s="1"/>
  <c r="G6" i="25"/>
  <c r="I6" i="25" s="1"/>
  <c r="K6" i="25" s="1"/>
  <c r="G5" i="25"/>
  <c r="H5" i="25" s="1"/>
  <c r="J5" i="25" s="1"/>
  <c r="G4" i="25"/>
  <c r="I4" i="25" s="1"/>
  <c r="K4" i="25" s="1"/>
  <c r="G3" i="25"/>
  <c r="I3" i="25" s="1"/>
  <c r="K3" i="25" s="1"/>
  <c r="G2" i="25"/>
  <c r="I2" i="25" s="1"/>
  <c r="K2" i="25" s="1"/>
  <c r="B32" i="24"/>
  <c r="E86" i="15" s="1"/>
  <c r="B31" i="24"/>
  <c r="E85" i="15" s="1"/>
  <c r="B29" i="24"/>
  <c r="E83" i="15" s="1"/>
  <c r="G15" i="24"/>
  <c r="I15" i="24" s="1"/>
  <c r="K15" i="24" s="1"/>
  <c r="G14" i="24"/>
  <c r="H14" i="24" s="1"/>
  <c r="J14" i="24" s="1"/>
  <c r="G13" i="24"/>
  <c r="I13" i="24" s="1"/>
  <c r="K13" i="24" s="1"/>
  <c r="G12" i="24"/>
  <c r="H12" i="24" s="1"/>
  <c r="J12" i="24" s="1"/>
  <c r="G11" i="24"/>
  <c r="H11" i="24" s="1"/>
  <c r="J11" i="24" s="1"/>
  <c r="G10" i="24"/>
  <c r="I10" i="24" s="1"/>
  <c r="K10" i="24" s="1"/>
  <c r="G9" i="24"/>
  <c r="I9" i="24" s="1"/>
  <c r="K9" i="24" s="1"/>
  <c r="G8" i="24"/>
  <c r="I8" i="24" s="1"/>
  <c r="K8" i="24" s="1"/>
  <c r="G7" i="24"/>
  <c r="H7" i="24" s="1"/>
  <c r="J7" i="24" s="1"/>
  <c r="G6" i="24"/>
  <c r="I6" i="24" s="1"/>
  <c r="K6" i="24" s="1"/>
  <c r="G5" i="24"/>
  <c r="I5" i="24" s="1"/>
  <c r="K5" i="24" s="1"/>
  <c r="G4" i="24"/>
  <c r="I4" i="24" s="1"/>
  <c r="K4" i="24" s="1"/>
  <c r="G3" i="24"/>
  <c r="H3" i="24" s="1"/>
  <c r="J3" i="24" s="1"/>
  <c r="G2" i="24"/>
  <c r="I2" i="24" s="1"/>
  <c r="K2" i="24" s="1"/>
  <c r="B33" i="23"/>
  <c r="B87" i="15" s="1"/>
  <c r="B32" i="23"/>
  <c r="B86" i="15" s="1"/>
  <c r="B31" i="23"/>
  <c r="B29" i="23"/>
  <c r="G16" i="23"/>
  <c r="I16" i="23" s="1"/>
  <c r="K16" i="23" s="1"/>
  <c r="G15" i="23"/>
  <c r="I15" i="23" s="1"/>
  <c r="K15" i="23" s="1"/>
  <c r="G14" i="23"/>
  <c r="I14" i="23" s="1"/>
  <c r="K14" i="23" s="1"/>
  <c r="G13" i="23"/>
  <c r="I13" i="23" s="1"/>
  <c r="K13" i="23" s="1"/>
  <c r="G12" i="23"/>
  <c r="I12" i="23" s="1"/>
  <c r="K12" i="23" s="1"/>
  <c r="G11" i="23"/>
  <c r="I11" i="23" s="1"/>
  <c r="K11" i="23" s="1"/>
  <c r="G10" i="23"/>
  <c r="I10" i="23" s="1"/>
  <c r="K10" i="23" s="1"/>
  <c r="G9" i="23"/>
  <c r="H9" i="23" s="1"/>
  <c r="J9" i="23" s="1"/>
  <c r="G8" i="23"/>
  <c r="I8" i="23" s="1"/>
  <c r="K8" i="23" s="1"/>
  <c r="G7" i="23"/>
  <c r="I7" i="23" s="1"/>
  <c r="K7" i="23" s="1"/>
  <c r="G6" i="23"/>
  <c r="I6" i="23" s="1"/>
  <c r="K6" i="23" s="1"/>
  <c r="G5" i="23"/>
  <c r="I5" i="23" s="1"/>
  <c r="K5" i="23" s="1"/>
  <c r="G4" i="23"/>
  <c r="I4" i="23" s="1"/>
  <c r="K4" i="23" s="1"/>
  <c r="G3" i="23"/>
  <c r="I3" i="23" s="1"/>
  <c r="K3" i="23" s="1"/>
  <c r="G2" i="23"/>
  <c r="H2" i="23" s="1"/>
  <c r="J2" i="23" s="1"/>
  <c r="B30" i="18"/>
  <c r="D15" i="18"/>
  <c r="H17" i="24" l="1"/>
  <c r="J17" i="24" s="1"/>
  <c r="L17" i="24" s="1"/>
  <c r="B2" i="15"/>
  <c r="B5" i="15"/>
  <c r="I16" i="24"/>
  <c r="K16" i="24" s="1"/>
  <c r="L16" i="24" s="1"/>
  <c r="B4" i="15"/>
  <c r="I16" i="4"/>
  <c r="K16" i="4" s="1"/>
  <c r="L16" i="4" s="1"/>
  <c r="H17" i="4"/>
  <c r="J17" i="4" s="1"/>
  <c r="L17" i="4" s="1"/>
  <c r="H17" i="7"/>
  <c r="J17" i="7" s="1"/>
  <c r="L17" i="7" s="1"/>
  <c r="H17" i="5"/>
  <c r="J17" i="5" s="1"/>
  <c r="L17" i="5" s="1"/>
  <c r="H17" i="22"/>
  <c r="J17" i="22" s="1"/>
  <c r="L17" i="22" s="1"/>
  <c r="H17" i="23"/>
  <c r="J17" i="23" s="1"/>
  <c r="L17" i="23" s="1"/>
  <c r="H17" i="25"/>
  <c r="J17" i="25" s="1"/>
  <c r="L17" i="25" s="1"/>
  <c r="H17" i="11"/>
  <c r="J17" i="11" s="1"/>
  <c r="L17" i="11" s="1"/>
  <c r="H17" i="19"/>
  <c r="J17" i="19" s="1"/>
  <c r="L17" i="19" s="1"/>
  <c r="B6" i="15"/>
  <c r="I14" i="24"/>
  <c r="K14" i="24" s="1"/>
  <c r="L14" i="24" s="1"/>
  <c r="I9" i="23"/>
  <c r="K9" i="23" s="1"/>
  <c r="I7" i="24"/>
  <c r="K7" i="24" s="1"/>
  <c r="L7" i="24" s="1"/>
  <c r="H7" i="23"/>
  <c r="J7" i="23" s="1"/>
  <c r="L7" i="23" s="1"/>
  <c r="I2" i="23"/>
  <c r="K2" i="23" s="1"/>
  <c r="L2" i="23" s="1"/>
  <c r="L9" i="23"/>
  <c r="H3" i="23"/>
  <c r="J3" i="23" s="1"/>
  <c r="L3" i="23" s="1"/>
  <c r="H14" i="23"/>
  <c r="J14" i="23" s="1"/>
  <c r="L14" i="23" s="1"/>
  <c r="H14" i="25"/>
  <c r="J14" i="25" s="1"/>
  <c r="L14" i="25" s="1"/>
  <c r="H7" i="25"/>
  <c r="J7" i="25" s="1"/>
  <c r="L7" i="25" s="1"/>
  <c r="H3" i="25"/>
  <c r="J3" i="25" s="1"/>
  <c r="L3" i="25" s="1"/>
  <c r="I8" i="25"/>
  <c r="K8" i="25" s="1"/>
  <c r="I12" i="25"/>
  <c r="K12" i="25" s="1"/>
  <c r="L12" i="25" s="1"/>
  <c r="I15" i="25"/>
  <c r="K15" i="25" s="1"/>
  <c r="L15" i="25" s="1"/>
  <c r="H6" i="25"/>
  <c r="J6" i="25" s="1"/>
  <c r="L6" i="25" s="1"/>
  <c r="H13" i="25"/>
  <c r="J13" i="25" s="1"/>
  <c r="L13" i="25" s="1"/>
  <c r="H4" i="25"/>
  <c r="J4" i="25" s="1"/>
  <c r="L4" i="25" s="1"/>
  <c r="H11" i="25"/>
  <c r="J11" i="25" s="1"/>
  <c r="L11" i="25" s="1"/>
  <c r="I5" i="25"/>
  <c r="K5" i="25" s="1"/>
  <c r="L5" i="25" s="1"/>
  <c r="I10" i="25"/>
  <c r="K10" i="25" s="1"/>
  <c r="L10" i="25" s="1"/>
  <c r="H2" i="25"/>
  <c r="J2" i="25" s="1"/>
  <c r="H9" i="25"/>
  <c r="J9" i="25" s="1"/>
  <c r="L9" i="25" s="1"/>
  <c r="H16" i="25"/>
  <c r="J16" i="25" s="1"/>
  <c r="L16" i="25" s="1"/>
  <c r="H10" i="24"/>
  <c r="J10" i="24" s="1"/>
  <c r="L10" i="24" s="1"/>
  <c r="H8" i="24"/>
  <c r="J8" i="24" s="1"/>
  <c r="L8" i="24" s="1"/>
  <c r="H15" i="24"/>
  <c r="J15" i="24" s="1"/>
  <c r="L15" i="24" s="1"/>
  <c r="I12" i="24"/>
  <c r="K12" i="24" s="1"/>
  <c r="L12" i="24" s="1"/>
  <c r="I3" i="24"/>
  <c r="K3" i="24" s="1"/>
  <c r="L3" i="24" s="1"/>
  <c r="H6" i="24"/>
  <c r="J6" i="24" s="1"/>
  <c r="L6" i="24" s="1"/>
  <c r="H13" i="24"/>
  <c r="J13" i="24" s="1"/>
  <c r="L13" i="24" s="1"/>
  <c r="I11" i="24"/>
  <c r="K11" i="24" s="1"/>
  <c r="L11" i="24" s="1"/>
  <c r="H2" i="24"/>
  <c r="J2" i="24" s="1"/>
  <c r="H9" i="24"/>
  <c r="J9" i="24" s="1"/>
  <c r="L9" i="24" s="1"/>
  <c r="H5" i="24"/>
  <c r="J5" i="24" s="1"/>
  <c r="L5" i="24" s="1"/>
  <c r="H4" i="24"/>
  <c r="J4" i="24" s="1"/>
  <c r="L4" i="24" s="1"/>
  <c r="H5" i="23"/>
  <c r="J5" i="23" s="1"/>
  <c r="L5" i="23" s="1"/>
  <c r="H12" i="23"/>
  <c r="J12" i="23" s="1"/>
  <c r="L12" i="23" s="1"/>
  <c r="H10" i="23"/>
  <c r="J10" i="23" s="1"/>
  <c r="L10" i="23" s="1"/>
  <c r="H8" i="23"/>
  <c r="J8" i="23" s="1"/>
  <c r="L8" i="23" s="1"/>
  <c r="H6" i="23"/>
  <c r="J6" i="23" s="1"/>
  <c r="L6" i="23" s="1"/>
  <c r="H13" i="23"/>
  <c r="J13" i="23" s="1"/>
  <c r="L13" i="23" s="1"/>
  <c r="H4" i="23"/>
  <c r="J4" i="23" s="1"/>
  <c r="L4" i="23" s="1"/>
  <c r="H11" i="23"/>
  <c r="J11" i="23" s="1"/>
  <c r="L11" i="23" s="1"/>
  <c r="H16" i="23"/>
  <c r="J16" i="23" s="1"/>
  <c r="L16" i="23" s="1"/>
  <c r="H15" i="23"/>
  <c r="J15" i="23" s="1"/>
  <c r="L15" i="23" s="1"/>
  <c r="B34" i="11"/>
  <c r="C24" i="23" l="1"/>
  <c r="B37" i="23" s="1"/>
  <c r="B91" i="15" s="1"/>
  <c r="C24" i="25"/>
  <c r="B37" i="25" s="1"/>
  <c r="E30" i="15" s="1"/>
  <c r="L8" i="25"/>
  <c r="B24" i="25"/>
  <c r="B35" i="25" s="1"/>
  <c r="E28" i="15" s="1"/>
  <c r="L2" i="25"/>
  <c r="B24" i="24"/>
  <c r="B35" i="24" s="1"/>
  <c r="L2" i="24"/>
  <c r="D24" i="24" s="1"/>
  <c r="B41" i="24" s="1"/>
  <c r="B14" i="15" s="1"/>
  <c r="C24" i="24"/>
  <c r="B37" i="24" s="1"/>
  <c r="D24" i="23"/>
  <c r="B41" i="23" s="1"/>
  <c r="B24" i="23"/>
  <c r="B35" i="23" s="1"/>
  <c r="B89" i="15" s="1"/>
  <c r="G3" i="7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3" i="22"/>
  <c r="I3" i="22" s="1"/>
  <c r="K3" i="22" s="1"/>
  <c r="G4" i="22"/>
  <c r="I4" i="22" s="1"/>
  <c r="K4" i="22" s="1"/>
  <c r="G5" i="22"/>
  <c r="H5" i="22" s="1"/>
  <c r="J5" i="22" s="1"/>
  <c r="G6" i="22"/>
  <c r="I6" i="22" s="1"/>
  <c r="K6" i="22" s="1"/>
  <c r="G7" i="22"/>
  <c r="I7" i="22" s="1"/>
  <c r="K7" i="22" s="1"/>
  <c r="G8" i="22"/>
  <c r="I8" i="22" s="1"/>
  <c r="K8" i="22" s="1"/>
  <c r="G9" i="22"/>
  <c r="H9" i="22" s="1"/>
  <c r="J9" i="22" s="1"/>
  <c r="G10" i="22"/>
  <c r="I10" i="22" s="1"/>
  <c r="K10" i="22" s="1"/>
  <c r="G11" i="22"/>
  <c r="I11" i="22" s="1"/>
  <c r="K11" i="22" s="1"/>
  <c r="G12" i="22"/>
  <c r="I12" i="22" s="1"/>
  <c r="K12" i="22" s="1"/>
  <c r="G13" i="22"/>
  <c r="H13" i="22" s="1"/>
  <c r="J13" i="22" s="1"/>
  <c r="G14" i="22"/>
  <c r="I14" i="22" s="1"/>
  <c r="K14" i="22" s="1"/>
  <c r="G15" i="22"/>
  <c r="I15" i="22" s="1"/>
  <c r="K15" i="22" s="1"/>
  <c r="G16" i="22"/>
  <c r="I16" i="22" s="1"/>
  <c r="K16" i="22" s="1"/>
  <c r="G2" i="22"/>
  <c r="I2" i="22" s="1"/>
  <c r="B34" i="4"/>
  <c r="E65" i="15" s="1"/>
  <c r="B34" i="19"/>
  <c r="B46" i="23" l="1"/>
  <c r="B100" i="15" s="1"/>
  <c r="B95" i="15"/>
  <c r="E91" i="15"/>
  <c r="B10" i="15"/>
  <c r="E89" i="15"/>
  <c r="B8" i="15"/>
  <c r="B44" i="24"/>
  <c r="E95" i="15"/>
  <c r="D24" i="25"/>
  <c r="B41" i="25" s="1"/>
  <c r="I13" i="22"/>
  <c r="K13" i="22" s="1"/>
  <c r="L13" i="22" s="1"/>
  <c r="H12" i="22"/>
  <c r="J12" i="22" s="1"/>
  <c r="L12" i="22" s="1"/>
  <c r="H10" i="22"/>
  <c r="J10" i="22" s="1"/>
  <c r="L10" i="22" s="1"/>
  <c r="I9" i="22"/>
  <c r="K9" i="22" s="1"/>
  <c r="L9" i="22" s="1"/>
  <c r="H4" i="22"/>
  <c r="J4" i="22" s="1"/>
  <c r="L4" i="22" s="1"/>
  <c r="I5" i="22"/>
  <c r="K5" i="22" s="1"/>
  <c r="L5" i="22" s="1"/>
  <c r="H3" i="22"/>
  <c r="J3" i="22" s="1"/>
  <c r="L3" i="22" s="1"/>
  <c r="H11" i="22"/>
  <c r="J11" i="22" s="1"/>
  <c r="L11" i="22" s="1"/>
  <c r="H16" i="22"/>
  <c r="J16" i="22" s="1"/>
  <c r="L16" i="22" s="1"/>
  <c r="H7" i="22"/>
  <c r="J7" i="22" s="1"/>
  <c r="L7" i="22" s="1"/>
  <c r="H15" i="22"/>
  <c r="J15" i="22" s="1"/>
  <c r="L15" i="22" s="1"/>
  <c r="H8" i="22"/>
  <c r="J8" i="22" s="1"/>
  <c r="L8" i="22" s="1"/>
  <c r="H6" i="22"/>
  <c r="J6" i="22" s="1"/>
  <c r="L6" i="22" s="1"/>
  <c r="H14" i="22"/>
  <c r="J14" i="22" s="1"/>
  <c r="L14" i="22" s="1"/>
  <c r="H2" i="22"/>
  <c r="B31" i="7"/>
  <c r="B33" i="5"/>
  <c r="B34" i="20"/>
  <c r="B33" i="7"/>
  <c r="B36" i="11"/>
  <c r="B36" i="20"/>
  <c r="E67" i="15"/>
  <c r="G17" i="20"/>
  <c r="I17" i="20" s="1"/>
  <c r="K17" i="20" s="1"/>
  <c r="B32" i="22"/>
  <c r="G14" i="19"/>
  <c r="H14" i="19" s="1"/>
  <c r="J14" i="19" s="1"/>
  <c r="E100" i="15" l="1"/>
  <c r="B17" i="15"/>
  <c r="B45" i="25"/>
  <c r="E38" i="15" s="1"/>
  <c r="E34" i="15"/>
  <c r="H17" i="20"/>
  <c r="J17" i="20" s="1"/>
  <c r="L17" i="20" s="1"/>
  <c r="I14" i="19"/>
  <c r="K14" i="19" s="1"/>
  <c r="L14" i="19" s="1"/>
  <c r="B35" i="6"/>
  <c r="E3" i="15"/>
  <c r="E9" i="15"/>
  <c r="E11" i="15"/>
  <c r="E15" i="15"/>
  <c r="E16" i="15"/>
  <c r="B36" i="6"/>
  <c r="E6" i="15"/>
  <c r="I16" i="7"/>
  <c r="K16" i="7" s="1"/>
  <c r="J15" i="7"/>
  <c r="J14" i="7"/>
  <c r="I13" i="7"/>
  <c r="K13" i="7" s="1"/>
  <c r="J12" i="7"/>
  <c r="J11" i="7"/>
  <c r="I10" i="7"/>
  <c r="K10" i="7" s="1"/>
  <c r="I9" i="7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23" i="22" l="1"/>
  <c r="B38" i="22" s="1"/>
  <c r="B28" i="15" s="1"/>
  <c r="C23" i="22"/>
  <c r="B40" i="22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I11" i="7"/>
  <c r="K11" i="7" s="1"/>
  <c r="L11" i="7" s="1"/>
  <c r="J16" i="7"/>
  <c r="L16" i="7" s="1"/>
  <c r="I14" i="7"/>
  <c r="K14" i="7" s="1"/>
  <c r="L14" i="7" s="1"/>
  <c r="J9" i="7"/>
  <c r="L9" i="7" s="1"/>
  <c r="I12" i="7"/>
  <c r="K12" i="7" s="1"/>
  <c r="L12" i="7" s="1"/>
  <c r="I15" i="7"/>
  <c r="K15" i="7" s="1"/>
  <c r="L15" i="7" s="1"/>
  <c r="J13" i="7"/>
  <c r="L13" i="7" s="1"/>
  <c r="J10" i="7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B35" i="19"/>
  <c r="B32" i="19"/>
  <c r="G2" i="19"/>
  <c r="H2" i="19" s="1"/>
  <c r="K8" i="1"/>
  <c r="K7" i="1"/>
  <c r="B28" i="18"/>
  <c r="B27" i="18"/>
  <c r="B24" i="18"/>
  <c r="B27" i="16"/>
  <c r="B27" i="1"/>
  <c r="B35" i="11"/>
  <c r="B66" i="15" s="1"/>
  <c r="B32" i="7"/>
  <c r="E46" i="15" s="1"/>
  <c r="B34" i="5"/>
  <c r="B46" i="15" s="1"/>
  <c r="B34" i="2"/>
  <c r="B27" i="3"/>
  <c r="A67" i="15"/>
  <c r="D47" i="15"/>
  <c r="A47" i="15"/>
  <c r="D26" i="15"/>
  <c r="D6" i="15"/>
  <c r="B28" i="1"/>
  <c r="B28" i="16"/>
  <c r="B67" i="15"/>
  <c r="E47" i="15"/>
  <c r="B47" i="15"/>
  <c r="B35" i="2"/>
  <c r="B28" i="3"/>
  <c r="B65" i="15"/>
  <c r="B26" i="1"/>
  <c r="B26" i="16"/>
  <c r="E45" i="15"/>
  <c r="B45" i="15"/>
  <c r="B34" i="6"/>
  <c r="B33" i="2"/>
  <c r="B26" i="3"/>
  <c r="B24" i="16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D24" i="15"/>
  <c r="D25" i="15"/>
  <c r="D27" i="15"/>
  <c r="D28" i="15"/>
  <c r="D29" i="15"/>
  <c r="D30" i="15"/>
  <c r="D31" i="15"/>
  <c r="D34" i="15"/>
  <c r="D35" i="15"/>
  <c r="D36" i="15"/>
  <c r="D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L13" i="5" l="1"/>
  <c r="L12" i="5"/>
  <c r="L11" i="5"/>
  <c r="L10" i="5"/>
  <c r="D23" i="22"/>
  <c r="B44" i="22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4" i="15"/>
  <c r="E2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2" i="11"/>
  <c r="B63" i="15" s="1"/>
  <c r="B24" i="1"/>
  <c r="B29" i="7"/>
  <c r="E43" i="15" s="1"/>
  <c r="B31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I8" i="7"/>
  <c r="I7" i="7"/>
  <c r="I6" i="7"/>
  <c r="I5" i="7"/>
  <c r="I4" i="7"/>
  <c r="I3" i="7"/>
  <c r="G2" i="7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I2" i="7" l="1"/>
  <c r="K2" i="7" s="1"/>
  <c r="H2" i="7"/>
  <c r="J2" i="7" s="1"/>
  <c r="B48" i="22"/>
  <c r="L5" i="20"/>
  <c r="B23" i="19"/>
  <c r="B38" i="19" s="1"/>
  <c r="C23" i="19"/>
  <c r="B40" i="19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B36" i="18"/>
  <c r="B15" i="18"/>
  <c r="C15" i="18"/>
  <c r="B32" i="18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L2" i="16"/>
  <c r="B15" i="16"/>
  <c r="B30" i="16" s="1"/>
  <c r="J8" i="11"/>
  <c r="L8" i="11" s="1"/>
  <c r="J2" i="11"/>
  <c r="K2" i="11"/>
  <c r="J3" i="11"/>
  <c r="J4" i="11"/>
  <c r="J5" i="11"/>
  <c r="J6" i="11"/>
  <c r="J4" i="7"/>
  <c r="K4" i="7"/>
  <c r="J5" i="7"/>
  <c r="K5" i="7"/>
  <c r="J6" i="7"/>
  <c r="K6" i="7"/>
  <c r="J3" i="7"/>
  <c r="K3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E10" i="15" l="1"/>
  <c r="E8" i="15"/>
  <c r="D23" i="20"/>
  <c r="B44" i="20" s="1"/>
  <c r="C23" i="4"/>
  <c r="B40" i="4" s="1"/>
  <c r="E71" i="15" s="1"/>
  <c r="B23" i="4"/>
  <c r="B38" i="4" s="1"/>
  <c r="E69" i="15" s="1"/>
  <c r="D23" i="19"/>
  <c r="E14" i="15" s="1"/>
  <c r="L8" i="4"/>
  <c r="B40" i="18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3" i="11"/>
  <c r="B40" i="11" s="1"/>
  <c r="B71" i="15" s="1"/>
  <c r="J8" i="7"/>
  <c r="L8" i="7" s="1"/>
  <c r="J7" i="7"/>
  <c r="L7" i="7" s="1"/>
  <c r="L6" i="7"/>
  <c r="L3" i="7"/>
  <c r="C24" i="7"/>
  <c r="B37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C22" i="5"/>
  <c r="B39" i="5" s="1"/>
  <c r="B51" i="15" s="1"/>
  <c r="L5" i="5"/>
  <c r="L6" i="4"/>
  <c r="L7" i="6"/>
  <c r="C23" i="6"/>
  <c r="B40" i="6" s="1"/>
  <c r="L4" i="11"/>
  <c r="L4" i="7"/>
  <c r="L2" i="11"/>
  <c r="B23" i="11"/>
  <c r="B38" i="11" s="1"/>
  <c r="L2" i="7"/>
  <c r="L4" i="6"/>
  <c r="L2" i="6"/>
  <c r="B23" i="6"/>
  <c r="B38" i="6" s="1"/>
  <c r="L4" i="2"/>
  <c r="L2" i="2"/>
  <c r="L2" i="5"/>
  <c r="B22" i="5"/>
  <c r="B37" i="5" s="1"/>
  <c r="B15" i="3"/>
  <c r="B30" i="3" s="1"/>
  <c r="L2" i="3"/>
  <c r="C15" i="3"/>
  <c r="B32" i="3" s="1"/>
  <c r="L4" i="13"/>
  <c r="L2" i="13"/>
  <c r="L2" i="4"/>
  <c r="B49" i="15" l="1"/>
  <c r="B43" i="5"/>
  <c r="B48" i="20"/>
  <c r="B69" i="15"/>
  <c r="B44" i="11"/>
  <c r="B48" i="11" s="1"/>
  <c r="D23" i="4"/>
  <c r="B48" i="19"/>
  <c r="B36" i="1"/>
  <c r="B40" i="1" s="1"/>
  <c r="B36" i="16"/>
  <c r="B40" i="16" s="1"/>
  <c r="B22" i="2"/>
  <c r="B37" i="2" s="1"/>
  <c r="D23" i="11"/>
  <c r="B24" i="7"/>
  <c r="B35" i="7" s="1"/>
  <c r="E49" i="15" s="1"/>
  <c r="D24" i="7"/>
  <c r="D22" i="5"/>
  <c r="D15" i="3"/>
  <c r="D23" i="6"/>
  <c r="D22" i="2"/>
  <c r="E18" i="15" l="1"/>
  <c r="B42" i="1"/>
  <c r="B79" i="15"/>
  <c r="B41" i="7"/>
  <c r="B46" i="7" s="1"/>
  <c r="E59" i="15" s="1"/>
  <c r="B59" i="15"/>
  <c r="B44" i="6"/>
  <c r="B48" i="6" s="1"/>
  <c r="B43" i="2"/>
  <c r="B47" i="2" s="1"/>
  <c r="B36" i="3"/>
  <c r="B43" i="4"/>
  <c r="E74" i="15" s="1"/>
  <c r="B49" i="4" l="1"/>
  <c r="E80" i="15" s="1"/>
  <c r="B75" i="15"/>
  <c r="E55" i="15"/>
  <c r="B55" i="15"/>
  <c r="B40" i="3"/>
  <c r="K2" i="22"/>
  <c r="J2" i="22"/>
  <c r="L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1C762753-C126-46F9-98A7-13C70F174D44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0DCC2464-0DCE-4DAC-A6C2-21AC75C65C92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BD3BB1EE-0A63-4A98-BB8F-B9AC5BF0166C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87CE0C89-8700-49B1-A3B2-94A63FEF8A79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F7B870F4-1758-46FB-8BE1-B97B47A7612B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4A063756-1E1A-40BA-A59E-4F846CC3C5B3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<sst xmlns="http://schemas.openxmlformats.org/spreadsheetml/2006/main" count="2393" uniqueCount="296">
  <si>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</si>
  <si>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</si>
  <si>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</si>
  <si>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</si>
  <si>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</si>
  <si>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</si>
  <si>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</si>
  <si>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</si>
  <si>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</si>
  <si>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</si>
  <si>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</si>
  <si>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</si>
  <si>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</si>
  <si>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</si>
  <si>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</si>
  <si>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</si>
  <si>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</si>
  <si>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</si>
  <si>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</si>
  <si>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</si>
  <si>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</si>
  <si>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</si>
  <si>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</si>
  <si>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</si>
  <si>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</si>
  <si>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</si>
  <si>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</si>
  <si>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</si>
  <si>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</si>
  <si>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</si>
  <si>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</si>
  <si>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</si>
  <si>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</si>
  <si>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</si>
  <si>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</si>
  <si>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</si>
  <si>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</si>
  <si>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</si>
  <si>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</si>
  <si>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</si>
  <si>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</si>
  <si>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</si>
  <si>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</si>
  <si>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</si>
  <si>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</si>
  <si>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</si>
  <si>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</si>
  <si>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</si>
  <si>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</si>
  <si>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</si>
  <si>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</si>
  <si>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</si>
  <si>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</si>
  <si>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</si>
  <si>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</si>
  <si>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</si>
  <si>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</si>
  <si>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</si>
  <si>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</si>
  <si>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</si>
  <si>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</si>
  <si>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</si>
  <si>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</si>
  <si>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</si>
  <si>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09:01</t>
  </si>
  <si>
    <t>16:00</t>
  </si>
  <si>
    <t>David</t>
  </si>
  <si>
    <t>09:02</t>
  </si>
  <si>
    <t>09:03</t>
  </si>
  <si>
    <t>09:04</t>
  </si>
  <si>
    <t>09:05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</si>
  <si>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</si>
  <si>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</si>
  <si>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</si>
  <si>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</si>
  <si>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</si>
  <si>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</si>
  <si>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</si>
  <si>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</si>
  <si>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</si>
  <si>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</si>
  <si>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</si>
  <si>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</si>
  <si>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</si>
  <si>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</si>
  <si>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</si>
  <si>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</si>
  <si>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</si>
  <si>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</si>
  <si>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</si>
  <si>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</si>
  <si>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Cook</t>
  </si>
  <si>
    <t>08:00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</si>
  <si>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</si>
  <si>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</si>
  <si>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</si>
  <si>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</si>
  <si>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</si>
  <si>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</si>
  <si>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</si>
  <si>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</si>
  <si>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</si>
  <si>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</si>
  <si>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</si>
  <si>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</si>
  <si>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</si>
  <si>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</si>
  <si>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</si>
  <si>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</si>
  <si>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</si>
  <si>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09:28</t>
  </si>
  <si>
    <t>21:22</t>
  </si>
  <si>
    <t>Sheen Valles</t>
  </si>
  <si>
    <t>8:00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</si>
  <si>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</si>
  <si>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</si>
  <si>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</si>
  <si>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</si>
  <si>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</si>
  <si>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</si>
  <si>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</si>
  <si>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08:59</t>
  </si>
  <si>
    <t>2026-05-12</t>
  </si>
  <si>
    <t>2026-05-13</t>
  </si>
  <si>
    <t>2026-05-14</t>
  </si>
  <si>
    <t>2026-05-15</t>
  </si>
  <si>
    <t>08:50</t>
  </si>
  <si>
    <t>09:06</t>
  </si>
  <si>
    <t>21:15</t>
  </si>
  <si>
    <t>09:07</t>
  </si>
  <si>
    <t>2026-05-04</t>
  </si>
  <si>
    <t>14:00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</si>
  <si>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</si>
  <si>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</si>
  <si>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</si>
  <si>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</si>
  <si>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</si>
  <si>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</si>
  <si>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</si>
  <si>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</si>
  <si>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</si>
  <si>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</si>
  <si>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</si>
  <si>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</si>
  <si>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</si>
  <si>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</si>
  <si>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</si>
  <si>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</si>
  <si>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08:52</t>
  </si>
  <si>
    <t>08:55</t>
  </si>
  <si>
    <t>renelyn</t>
  </si>
  <si>
    <t>Niel</t>
  </si>
  <si>
    <t>2026-06-01</t>
  </si>
  <si>
    <t>08:54</t>
  </si>
  <si>
    <t>2026-06-03</t>
  </si>
  <si>
    <t>2026-06-07</t>
  </si>
  <si>
    <t>2026-06-08</t>
  </si>
  <si>
    <t>2026-06-14</t>
  </si>
  <si>
    <t>2026-06-15</t>
  </si>
  <si>
    <t>Renelyn</t>
  </si>
  <si>
    <t>.</t>
  </si>
  <si>
    <t>08:56</t>
  </si>
  <si>
    <t>21:11</t>
  </si>
  <si>
    <t>ralph</t>
  </si>
  <si>
    <t>09:09</t>
  </si>
  <si>
    <t>08:51</t>
  </si>
  <si>
    <t>09:08</t>
  </si>
  <si>
    <t>Ralph</t>
  </si>
  <si>
    <t>21:10</t>
  </si>
  <si>
    <t>21:20</t>
  </si>
  <si>
    <t>21:14</t>
  </si>
  <si>
    <t>Nino</t>
  </si>
  <si>
    <t>Allowance</t>
  </si>
  <si>
    <t>2026-07-01</t>
  </si>
  <si>
    <t>2026-07-02</t>
  </si>
  <si>
    <t>08:58</t>
  </si>
  <si>
    <t>2026-07-03</t>
  </si>
  <si>
    <t>21:48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</si>
  <si>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</si>
  <si>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</si>
  <si>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</si>
  <si>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</si>
  <si>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</si>
  <si>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</si>
  <si>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</si>
  <si>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</si>
  <si>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</si>
  <si>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</si>
  <si>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</si>
  <si>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</si>
  <si>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monico</t>
  </si>
  <si>
    <t>21:23</t>
  </si>
  <si>
    <t>21:17</t>
  </si>
  <si>
    <t>21:54</t>
  </si>
  <si>
    <t>bret</t>
  </si>
  <si>
    <t>21:49</t>
  </si>
  <si>
    <t>nino</t>
  </si>
  <si>
    <t>marlon</t>
  </si>
  <si>
    <t>edmond</t>
  </si>
  <si>
    <t>Brett</t>
  </si>
  <si>
    <t>Monico</t>
  </si>
  <si>
    <t>Marlon</t>
  </si>
  <si>
    <t>18:00</t>
  </si>
  <si>
    <t>12:00</t>
  </si>
  <si>
    <t>21:24</t>
  </si>
  <si>
    <t>18:40</t>
  </si>
  <si>
    <t>13:00</t>
  </si>
  <si>
    <t>15:10</t>
  </si>
  <si>
    <t>21:09</t>
  </si>
  <si>
    <t>July-1 to July-15, 2026</t>
  </si>
  <si>
    <t>2026-07-16</t>
  </si>
  <si>
    <t>09:34</t>
  </si>
  <si>
    <t>21:41</t>
  </si>
  <si>
    <t>2026-07-17</t>
  </si>
  <si>
    <t>2026-07-18</t>
  </si>
  <si>
    <t>08:16</t>
  </si>
  <si>
    <t>21:38</t>
  </si>
  <si>
    <t>2026-07-19</t>
  </si>
  <si>
    <t>22:04</t>
  </si>
  <si>
    <t>2026-07-20</t>
  </si>
  <si>
    <t>2026-07-21</t>
  </si>
  <si>
    <t>2026-07-22</t>
  </si>
  <si>
    <t>2026-07-23</t>
  </si>
  <si>
    <t>2026-07-24</t>
  </si>
  <si>
    <t>22:10</t>
  </si>
  <si>
    <t>2026-07-25</t>
  </si>
  <si>
    <t>21:31</t>
  </si>
  <si>
    <t>2026-07-26</t>
  </si>
  <si>
    <t>2026-07-27</t>
  </si>
  <si>
    <t>21:32</t>
  </si>
  <si>
    <t>2026-07-28</t>
  </si>
  <si>
    <t>21:34</t>
  </si>
  <si>
    <t>2026-07-29</t>
  </si>
  <si>
    <t>08:22</t>
  </si>
  <si>
    <t>21:29</t>
  </si>
  <si>
    <t>2026-07-30</t>
  </si>
  <si>
    <t>2026-07-31</t>
  </si>
  <si>
    <t>21:57</t>
  </si>
  <si>
    <t>11:56</t>
  </si>
  <si>
    <t>11:50</t>
  </si>
  <si>
    <t>21:33</t>
  </si>
  <si>
    <t>08:23</t>
  </si>
  <si>
    <t>21:27</t>
  </si>
  <si>
    <t>18:05</t>
  </si>
  <si>
    <t>15:58</t>
  </si>
  <si>
    <t>21:28</t>
  </si>
  <si>
    <t>21:35</t>
  </si>
  <si>
    <t>21:40</t>
  </si>
  <si>
    <t>08:20</t>
  </si>
  <si>
    <t>21:44</t>
  </si>
  <si>
    <t>22:06</t>
  </si>
  <si>
    <t>09:12</t>
  </si>
  <si>
    <t>18:32</t>
  </si>
  <si>
    <t>22:02</t>
  </si>
  <si>
    <t>08:31</t>
  </si>
  <si>
    <t>09:18</t>
  </si>
  <si>
    <t>16:24</t>
  </si>
  <si>
    <t>08:43</t>
  </si>
  <si>
    <t>22:03</t>
  </si>
  <si>
    <t>21:56</t>
  </si>
  <si>
    <t>09:39</t>
  </si>
  <si>
    <t>17:59</t>
  </si>
  <si>
    <t>08:33</t>
  </si>
  <si>
    <t>21:47</t>
  </si>
  <si>
    <t>09:14</t>
  </si>
  <si>
    <t>22:21</t>
  </si>
  <si>
    <t>08:49</t>
  </si>
  <si>
    <t>18:07</t>
  </si>
  <si>
    <t>16:57</t>
  </si>
  <si>
    <t>lino</t>
  </si>
  <si>
    <t>17:12</t>
  </si>
  <si>
    <t>09:19</t>
  </si>
  <si>
    <t>21:25</t>
  </si>
  <si>
    <t>22:11</t>
  </si>
  <si>
    <t>09:16</t>
  </si>
  <si>
    <t>08:45</t>
  </si>
  <si>
    <t>Lino</t>
  </si>
  <si>
    <t>09:30</t>
  </si>
  <si>
    <t>Short</t>
  </si>
  <si>
    <t>Allowance(07-27)</t>
  </si>
  <si>
    <t>Sisig</t>
  </si>
  <si>
    <t>Charge PRK BBQ</t>
  </si>
  <si>
    <t>17:50</t>
  </si>
  <si>
    <t>16:45</t>
  </si>
  <si>
    <t>16:20</t>
  </si>
  <si>
    <t>12:58</t>
  </si>
  <si>
    <t>13:55</t>
  </si>
  <si>
    <t>16:05</t>
  </si>
  <si>
    <t>13:20</t>
  </si>
  <si>
    <t>17:54</t>
  </si>
  <si>
    <t>12:40</t>
  </si>
  <si>
    <t>14:40</t>
  </si>
  <si>
    <t>14:30</t>
  </si>
  <si>
    <t>15:02</t>
  </si>
  <si>
    <t>17:45</t>
  </si>
  <si>
    <t>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</si>
</sst>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2" fontId="0" fillId="4" borderId="0" xfId="0" applyNumberFormat="1" applyFill="1"/>
    <xf numFmtId="167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4" fillId="0" borderId="1" xfId="0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101"/>
  <sheetViews>
    <sheetView tabSelected="1" view="pageBreakPreview" topLeftCell="A37" zoomScale="130" zoomScaleNormal="100" zoomScaleSheetLayoutView="130" workbookViewId="0">
      <selection activeCell="E56" sqref="E56"/>
    </sheetView>
  </sheetViews>
  <sheetFormatPr defaultRowHeight="14.4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>
      <c r="A1" s="37" t="s">
        <v>39</v>
      </c>
      <c r="B1" s="37"/>
      <c r="D1" s="37" t="s">
        <v>39</v>
      </c>
      <c r="E1" s="37"/>
    </row>
    <row r="2" spans="1:5">
      <c r="A2" s="18" t="str">
        <f>Lino!A29</f>
        <v>Name:</v>
      </c>
      <c r="B2" s="18" t="str">
        <f>Lino!B29</f>
        <v>Lino</v>
      </c>
      <c r="C2" s="7"/>
      <c r="D2" s="18" t="str">
        <f>'Jay Anne'!A24</f>
        <v>Name:</v>
      </c>
      <c r="E2" s="18" t="str">
        <f>Micky!B32</f>
        <v>Micky</v>
      </c>
    </row>
    <row r="3" spans="1:5">
      <c r="A3" s="18" t="str">
        <f>Lino!A30</f>
        <v>Job Title:</v>
      </c>
      <c r="B3" s="18" t="str">
        <f>Lino!B30</f>
        <v>Staff</v>
      </c>
      <c r="C3" s="7"/>
      <c r="D3" s="18" t="str">
        <f>'Jay Anne'!A25</f>
        <v>Job Title:</v>
      </c>
      <c r="E3" s="18" t="str">
        <f>Micky!B33</f>
        <v>Staff</v>
      </c>
    </row>
    <row r="4" spans="1:5">
      <c r="A4" s="18" t="str">
        <f>Lino!A31</f>
        <v>Payment Date:</v>
      </c>
      <c r="B4" s="32">
        <f>Lino!B31</f>
        <v>46238</v>
      </c>
      <c r="C4" s="7"/>
      <c r="D4" s="18" t="str">
        <f>'Jay Anne'!A26</f>
        <v>Payment Date:</v>
      </c>
      <c r="E4" s="32">
        <f>Micky!B34</f>
        <v>46238</v>
      </c>
    </row>
    <row r="5" spans="1:5">
      <c r="A5" s="18" t="str">
        <f>Lino!A32</f>
        <v>Cut Off Period:</v>
      </c>
      <c r="B5" s="18" t="str">
        <f>Lino!B32</f>
        <v>July-1 to July-15, 2026</v>
      </c>
      <c r="C5" s="7"/>
      <c r="D5" s="18" t="str">
        <f>'Jay Anne'!A27</f>
        <v>Cut Off Period:</v>
      </c>
      <c r="E5" s="18" t="str">
        <f>Micky!B35</f>
        <v>July-1 to July-15, 2026</v>
      </c>
    </row>
    <row r="6" spans="1:5">
      <c r="A6" s="18" t="str">
        <f>Lino!A33</f>
        <v>Days Worked</v>
      </c>
      <c r="B6" s="18">
        <f>Lino!B33</f>
        <v>13</v>
      </c>
      <c r="C6" s="7"/>
      <c r="D6" s="18" t="str">
        <f>'Jay Anne'!A28</f>
        <v>Days Worked</v>
      </c>
      <c r="E6" s="18">
        <f>Micky!B36</f>
        <v>14</v>
      </c>
    </row>
    <row r="7" spans="1:5">
      <c r="A7" s="18" t="str">
        <f>Lino!A34</f>
        <v>Adjustments</v>
      </c>
      <c r="B7" s="14">
        <f>Lino!B34</f>
        <v>0</v>
      </c>
      <c r="C7" s="7"/>
      <c r="D7" s="20" t="str">
        <f>'Jay Anne'!A29</f>
        <v>Adjustments</v>
      </c>
      <c r="E7" s="18"/>
    </row>
    <row r="8" spans="1:5">
      <c r="A8" s="18" t="str">
        <f>Lino!A35</f>
        <v>Basic Pay</v>
      </c>
      <c r="B8" s="14">
        <f>Lino!B35</f>
        <v>2600</v>
      </c>
      <c r="C8" s="7"/>
      <c r="D8" s="18" t="str">
        <f>'Jay Anne'!A30</f>
        <v>Basic Pay</v>
      </c>
      <c r="E8" s="14">
        <f>Micky!B38</f>
        <v>4200</v>
      </c>
    </row>
    <row r="9" spans="1:5">
      <c r="A9" s="18" t="str">
        <f>Lino!A36</f>
        <v>Bonus/Incentives</v>
      </c>
      <c r="B9" s="14">
        <f>Lino!B36</f>
        <v>0</v>
      </c>
      <c r="C9" s="7"/>
      <c r="D9" s="18" t="str">
        <f>'Jay Anne'!A31</f>
        <v>Bonus/Incentives</v>
      </c>
      <c r="E9" s="14">
        <f>Micky!B39</f>
        <v>500</v>
      </c>
    </row>
    <row r="10" spans="1:5">
      <c r="A10" s="18" t="str">
        <f>Lino!A37</f>
        <v>Overtime Pay</v>
      </c>
      <c r="B10" s="14">
        <f>Lino!B37</f>
        <v>912.5</v>
      </c>
      <c r="C10" s="7"/>
      <c r="D10" s="18" t="str">
        <f>'Jay Anne'!A32</f>
        <v>Overtime Pay</v>
      </c>
      <c r="E10" s="14">
        <f>Micky!B40</f>
        <v>1920</v>
      </c>
    </row>
    <row r="11" spans="1:5">
      <c r="A11" s="18" t="str">
        <f>Lino!A38</f>
        <v>Other Income</v>
      </c>
      <c r="B11" s="14">
        <f>Lino!B38</f>
        <v>0</v>
      </c>
      <c r="C11" s="7"/>
      <c r="D11" s="18" t="str">
        <f>'Jay Anne'!A33</f>
        <v>Other Income</v>
      </c>
      <c r="E11" s="14">
        <f>Micky!B41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18" t="str">
        <f>Lino!A41</f>
        <v>Gross Pay</v>
      </c>
      <c r="B14" s="14">
        <f>Lino!B41</f>
        <v>3512.5</v>
      </c>
      <c r="C14" s="7"/>
      <c r="D14" s="21" t="str">
        <f>'Jay Anne'!A36</f>
        <v>Gross Pay</v>
      </c>
      <c r="E14" s="14">
        <f>Micky!B44</f>
        <v>6620</v>
      </c>
    </row>
    <row r="15" spans="1:5">
      <c r="A15" s="18" t="str">
        <f>Lino!A42</f>
        <v>Deductions</v>
      </c>
      <c r="B15" s="14">
        <f>Lino!B42</f>
        <v>0</v>
      </c>
      <c r="C15" s="7"/>
      <c r="D15" s="18" t="str">
        <f>'Jay Anne'!A37</f>
        <v>Deductions</v>
      </c>
      <c r="E15" s="14">
        <f>Micky!B45</f>
        <v>0</v>
      </c>
    </row>
    <row r="16" spans="1:5">
      <c r="A16" s="18" t="str">
        <f>Lino!A43</f>
        <v>.</v>
      </c>
      <c r="B16" s="14"/>
      <c r="C16" s="7"/>
      <c r="D16" s="18" t="str">
        <f>'Jay Anne'!A38</f>
        <v>WH Tax</v>
      </c>
      <c r="E16" s="14">
        <f>Micky!B46</f>
        <v>0</v>
      </c>
    </row>
    <row r="17" spans="1:5">
      <c r="A17" s="18" t="str">
        <f>Lino!A44</f>
        <v>Net Pay</v>
      </c>
      <c r="B17" s="14">
        <f>Lino!B44</f>
        <v>3512.5</v>
      </c>
      <c r="C17" s="7"/>
      <c r="D17" s="18"/>
      <c r="E17" s="14"/>
    </row>
    <row r="18" spans="1:5">
      <c r="A18" s="18"/>
      <c r="B18" s="18"/>
      <c r="C18" s="7"/>
      <c r="D18" s="20" t="str">
        <f>'Jay Anne'!A40</f>
        <v>Net Pay</v>
      </c>
      <c r="E18" s="14">
        <f>Micky!B48</f>
        <v>6620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7" t="s">
        <v>39</v>
      </c>
      <c r="B21" s="37"/>
      <c r="D21" s="37" t="s">
        <v>39</v>
      </c>
      <c r="E21" s="37"/>
    </row>
    <row r="22" spans="1:5">
      <c r="A22" s="18" t="str">
        <f>Renelyn!A32</f>
        <v>Name:</v>
      </c>
      <c r="B22" s="18" t="str">
        <f>Renelyn!B32</f>
        <v>Renelyn</v>
      </c>
      <c r="C22" s="7"/>
      <c r="D22" s="18" t="str">
        <f>Pepito!A32</f>
        <v>Name:</v>
      </c>
      <c r="E22" s="18" t="str">
        <f>Monico!B29</f>
        <v>Monico</v>
      </c>
    </row>
    <row r="23" spans="1:5">
      <c r="A23" s="18" t="str">
        <f>Renelyn!A33</f>
        <v>Job Title:</v>
      </c>
      <c r="B23" s="18" t="str">
        <f>Renelyn!B33</f>
        <v>Staff</v>
      </c>
      <c r="C23" s="7"/>
      <c r="D23" s="18" t="str">
        <f>Pepito!A33</f>
        <v>Job Title:</v>
      </c>
      <c r="E23" s="18" t="str">
        <f>Monico!B30</f>
        <v>Staff</v>
      </c>
    </row>
    <row r="24" spans="1:5">
      <c r="A24" s="18" t="str">
        <f>Renelyn!A34</f>
        <v>Payment Date:</v>
      </c>
      <c r="B24" s="32">
        <f>Renelyn!B34</f>
        <v>46238</v>
      </c>
      <c r="C24" s="7"/>
      <c r="D24" s="18" t="str">
        <f>Pepito!A34</f>
        <v>Payment Date:</v>
      </c>
      <c r="E24" s="32">
        <f>Monico!B31</f>
        <v>46238</v>
      </c>
    </row>
    <row r="25" spans="1:5">
      <c r="A25" s="18" t="str">
        <f>Renelyn!A35</f>
        <v>Cut Off Period:</v>
      </c>
      <c r="B25" s="18" t="str">
        <f>Renelyn!B35</f>
        <v>July-1 to July-15, 2026</v>
      </c>
      <c r="C25" s="7"/>
      <c r="D25" s="18" t="str">
        <f>Pepito!A35</f>
        <v>Cut Off Period:</v>
      </c>
      <c r="E25" s="18" t="str">
        <f>Monico!B32</f>
        <v>July-1 to July-15, 2026</v>
      </c>
    </row>
    <row r="26" spans="1:5">
      <c r="A26" s="18" t="str">
        <f>Renelyn!A36</f>
        <v>Days Worked</v>
      </c>
      <c r="B26" s="18">
        <f>Renelyn!B36</f>
        <v>13</v>
      </c>
      <c r="C26" s="7"/>
      <c r="D26" s="18" t="str">
        <f>Pepito!A36</f>
        <v>Days Worked</v>
      </c>
      <c r="E26" s="18">
        <f>Monico!B33</f>
        <v>12</v>
      </c>
    </row>
    <row r="27" spans="1:5">
      <c r="A27" s="18" t="str">
        <f>Renelyn!A37</f>
        <v>Adjustments</v>
      </c>
      <c r="B27" s="18"/>
      <c r="C27" s="7"/>
      <c r="D27" s="18" t="str">
        <f>Pepito!A37</f>
        <v>Adjustments</v>
      </c>
      <c r="E27" s="14">
        <f>Monico!B34</f>
        <v>0</v>
      </c>
    </row>
    <row r="28" spans="1:5">
      <c r="A28" s="18" t="str">
        <f>Renelyn!A38</f>
        <v>Basic Pay</v>
      </c>
      <c r="B28" s="14">
        <f>Renelyn!B38</f>
        <v>3600</v>
      </c>
      <c r="C28" s="7"/>
      <c r="D28" s="18" t="str">
        <f>Pepito!A38</f>
        <v>Basic Pay</v>
      </c>
      <c r="E28" s="14">
        <f>Monico!B35</f>
        <v>2906.25</v>
      </c>
    </row>
    <row r="29" spans="1:5">
      <c r="A29" s="18" t="str">
        <f>Renelyn!A39</f>
        <v>Bonus/Incentives</v>
      </c>
      <c r="B29" s="14">
        <f>Renelyn!B39</f>
        <v>0</v>
      </c>
      <c r="C29" s="7"/>
      <c r="D29" s="18" t="str">
        <f>Pepito!A39</f>
        <v>Bonus/Incentives</v>
      </c>
      <c r="E29" s="14">
        <f>Monico!B36</f>
        <v>0</v>
      </c>
    </row>
    <row r="30" spans="1:5">
      <c r="A30" s="18" t="str">
        <f>Renelyn!A40</f>
        <v>Overtime Pay</v>
      </c>
      <c r="B30" s="14">
        <f>Renelyn!B40</f>
        <v>1417.5</v>
      </c>
      <c r="C30" s="7"/>
      <c r="D30" s="18" t="str">
        <f>Pepito!A40</f>
        <v>Overtime Pay</v>
      </c>
      <c r="E30" s="14">
        <f>Monico!B37</f>
        <v>818.74999999999977</v>
      </c>
    </row>
    <row r="31" spans="1:5">
      <c r="A31" s="18" t="str">
        <f>Renelyn!A41</f>
        <v>Other Income</v>
      </c>
      <c r="B31" s="14">
        <f>Renelyn!B41</f>
        <v>0</v>
      </c>
      <c r="C31" s="7"/>
      <c r="D31" s="18" t="str">
        <f>Pepito!A41</f>
        <v>Other Income</v>
      </c>
      <c r="E31" s="14">
        <f>Monico!B38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Renelyn!A44</f>
        <v>Gross Pay</v>
      </c>
      <c r="B34" s="14">
        <f>Renelyn!B44</f>
        <v>5017.5</v>
      </c>
      <c r="C34" s="7"/>
      <c r="D34" s="21" t="str">
        <f>Pepito!A44</f>
        <v>Gross Pay</v>
      </c>
      <c r="E34" s="14">
        <f>Monico!B41</f>
        <v>3725</v>
      </c>
    </row>
    <row r="35" spans="1:5">
      <c r="A35" s="18" t="str">
        <f>Renelyn!A45</f>
        <v>Deductions</v>
      </c>
      <c r="B35" s="14">
        <f>Renelyn!B45</f>
        <v>0</v>
      </c>
      <c r="C35" s="7"/>
      <c r="D35" s="18" t="str">
        <f>Pepito!A45</f>
        <v>Deductions</v>
      </c>
      <c r="E35" s="14"/>
    </row>
    <row r="36" spans="1:5">
      <c r="A36" s="18" t="str">
        <f>Renelyn!A46</f>
        <v>Sisig</v>
      </c>
      <c r="B36" s="14">
        <f>Renelyn!B46</f>
        <v>-150</v>
      </c>
      <c r="C36" s="7"/>
      <c r="D36" s="18" t="str">
        <f>Pepito!A46</f>
        <v>WH Tax</v>
      </c>
      <c r="E36" s="14">
        <f>Monico!B43</f>
        <v>-500</v>
      </c>
    </row>
    <row r="37" spans="1:5">
      <c r="A37" s="18" t="str">
        <f>Renelyn!A47</f>
        <v>Short</v>
      </c>
      <c r="B37" s="14">
        <f>Renelyn!B47</f>
        <v>-315</v>
      </c>
      <c r="C37" s="7"/>
      <c r="D37" s="18"/>
      <c r="E37" s="14"/>
    </row>
    <row r="38" spans="1:5">
      <c r="A38" s="20" t="str">
        <f>Renelyn!A48</f>
        <v>Net Pay</v>
      </c>
      <c r="B38" s="14">
        <f>Renelyn!B48</f>
        <v>4867.5</v>
      </c>
      <c r="C38" s="7"/>
      <c r="D38" s="20" t="str">
        <f>Pepito!A48</f>
        <v>Net Pay</v>
      </c>
      <c r="E38" s="14">
        <f>Monico!B45</f>
        <v>3175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7" t="s">
        <v>39</v>
      </c>
      <c r="B42" s="37"/>
      <c r="D42" s="37" t="s">
        <v>39</v>
      </c>
      <c r="E42" s="37"/>
    </row>
    <row r="43" spans="1:5">
      <c r="A43" s="18" t="str">
        <f>Cherry!A31</f>
        <v>Name:</v>
      </c>
      <c r="B43" s="18" t="str">
        <f>Cherry!B31</f>
        <v>Cherry</v>
      </c>
      <c r="C43" s="7"/>
      <c r="D43" s="18" t="str">
        <f>Nino!A29</f>
        <v>Name:</v>
      </c>
      <c r="E43" s="18" t="str">
        <f>Nino!B29</f>
        <v>Nino</v>
      </c>
    </row>
    <row r="44" spans="1:5">
      <c r="A44" s="18" t="str">
        <f>Cherry!A32</f>
        <v>Job Title:</v>
      </c>
      <c r="B44" s="18" t="str">
        <f>Cherry!B32</f>
        <v>Staff</v>
      </c>
      <c r="C44" s="7"/>
      <c r="D44" s="18" t="str">
        <f>Nino!A30</f>
        <v>Job Title:</v>
      </c>
      <c r="E44" s="18" t="str">
        <f>Nino!B30</f>
        <v>Staff</v>
      </c>
    </row>
    <row r="45" spans="1:5">
      <c r="A45" s="18" t="str">
        <f>Cherry!A33</f>
        <v>Payment Date:</v>
      </c>
      <c r="B45" s="19">
        <f>Cherry!B33</f>
        <v>46238</v>
      </c>
      <c r="C45" s="7"/>
      <c r="D45" s="18" t="str">
        <f>Nino!A31</f>
        <v>Payment Date:</v>
      </c>
      <c r="E45" s="19">
        <f>Nino!B31</f>
        <v>46238</v>
      </c>
    </row>
    <row r="46" spans="1:5">
      <c r="A46" s="18" t="str">
        <f>Cherry!A34</f>
        <v>Cut Off Period:</v>
      </c>
      <c r="B46" s="18" t="str">
        <f>Cherry!B34</f>
        <v>July-1 to July-15, 2026</v>
      </c>
      <c r="C46" s="7"/>
      <c r="D46" s="18" t="str">
        <f>Nino!A32</f>
        <v>Cut Off Period:</v>
      </c>
      <c r="E46" s="18" t="str">
        <f>Nino!B32</f>
        <v>July-1 to July-15, 2026</v>
      </c>
    </row>
    <row r="47" spans="1:5">
      <c r="A47" s="18" t="str">
        <f>Cherry!A35</f>
        <v>Days Worked</v>
      </c>
      <c r="B47" s="18">
        <f>Cherry!B35</f>
        <v>14</v>
      </c>
      <c r="C47" s="7"/>
      <c r="D47" s="18" t="str">
        <f>Nino!A33</f>
        <v>Days Worked</v>
      </c>
      <c r="E47" s="18">
        <f>Nino!B33</f>
        <v>11</v>
      </c>
    </row>
    <row r="48" spans="1:5">
      <c r="A48" s="20" t="str">
        <f>Cherry!A36</f>
        <v>Adjustments</v>
      </c>
      <c r="B48" s="18"/>
      <c r="C48" s="7"/>
      <c r="D48" s="20" t="str">
        <f>Nino!A34</f>
        <v>Adjustments</v>
      </c>
      <c r="E48" s="18"/>
    </row>
    <row r="49" spans="1:5">
      <c r="A49" s="18" t="str">
        <f>Cherry!A37</f>
        <v>Basic Pay</v>
      </c>
      <c r="B49" s="14">
        <f>Cherry!B37</f>
        <v>5203.125</v>
      </c>
      <c r="C49" s="7"/>
      <c r="D49" s="18" t="str">
        <f>Nino!A35</f>
        <v>Basic Pay</v>
      </c>
      <c r="E49" s="14">
        <f>Nino!B35</f>
        <v>2738.75</v>
      </c>
    </row>
    <row r="50" spans="1:5">
      <c r="A50" s="18" t="str">
        <f>Cherry!A38</f>
        <v>Bonus/Incentives</v>
      </c>
      <c r="B50" s="14">
        <f>Cherry!B38</f>
        <v>500</v>
      </c>
      <c r="C50" s="7"/>
      <c r="D50" s="18" t="str">
        <f>Nino!A36</f>
        <v>Bonus/Incentives</v>
      </c>
      <c r="E50" s="14">
        <f>Nino!B36</f>
        <v>0</v>
      </c>
    </row>
    <row r="51" spans="1:5">
      <c r="A51" s="18" t="str">
        <f>Cherry!A39</f>
        <v>Overtime Pay</v>
      </c>
      <c r="B51" s="14">
        <f>Cherry!B39</f>
        <v>2316.5625</v>
      </c>
      <c r="C51" s="7"/>
      <c r="D51" s="18" t="str">
        <f>Nino!A37</f>
        <v>Overtime Pay</v>
      </c>
      <c r="E51" s="14">
        <f>Nino!B37</f>
        <v>66.500000000000099</v>
      </c>
    </row>
    <row r="52" spans="1:5">
      <c r="A52" s="18" t="str">
        <f>Cherry!A40</f>
        <v>Other Income</v>
      </c>
      <c r="B52" s="14">
        <f>Cherry!B40</f>
        <v>0</v>
      </c>
      <c r="C52" s="7"/>
      <c r="D52" s="18" t="str">
        <f>Nino!A38</f>
        <v>Other Income</v>
      </c>
      <c r="E52" s="14">
        <f>Nino!B38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Cherry!A43</f>
        <v>Gross Pay</v>
      </c>
      <c r="B55" s="14">
        <f>Cherry!B43</f>
        <v>8019.6875</v>
      </c>
      <c r="C55" s="7"/>
      <c r="D55" s="18" t="str">
        <f>Nino!A41</f>
        <v>Gross Pay</v>
      </c>
      <c r="E55" s="14">
        <f>Nino!B41</f>
        <v>2805.25</v>
      </c>
    </row>
    <row r="56" spans="1:5">
      <c r="A56" s="18" t="str">
        <f>Cherry!A44</f>
        <v>Deductions</v>
      </c>
      <c r="B56" s="14">
        <f>Cherry!B44</f>
        <v>0</v>
      </c>
      <c r="C56" s="7"/>
      <c r="D56" s="18" t="str">
        <f>Nino!A42</f>
        <v>Deductions</v>
      </c>
      <c r="E56" s="14"/>
    </row>
    <row r="57" spans="1:5">
      <c r="A57" s="18" t="str">
        <f>Cherry!A45</f>
        <v>WH Tax</v>
      </c>
      <c r="B57" s="14">
        <f>Cherry!B45</f>
        <v>0</v>
      </c>
      <c r="C57" s="7"/>
      <c r="D57" s="18" t="str">
        <f>Nino!A43</f>
        <v>Allowance</v>
      </c>
      <c r="E57" s="14">
        <f>Nino!B43</f>
        <v>-500</v>
      </c>
    </row>
    <row r="58" spans="1:5">
      <c r="A58" s="18"/>
      <c r="B58" s="14"/>
      <c r="C58" s="7"/>
      <c r="D58" s="18" t="str">
        <f>Nino!A44</f>
        <v>Allowance</v>
      </c>
      <c r="E58" s="14">
        <f>Nino!B44</f>
        <v>-500</v>
      </c>
    </row>
    <row r="59" spans="1:5">
      <c r="A59" s="20" t="str">
        <f>Cherry!A47</f>
        <v>Net Pay</v>
      </c>
      <c r="B59" s="14">
        <f>Cherry!B47</f>
        <v>8019.6875</v>
      </c>
      <c r="C59" s="7"/>
      <c r="D59" s="20" t="str">
        <f>Nino!A46</f>
        <v>Net Pay</v>
      </c>
      <c r="E59" s="14">
        <f>Nino!B46</f>
        <v>1805.25</v>
      </c>
    </row>
    <row r="60" spans="1:5">
      <c r="A60" s="7"/>
      <c r="B60" s="7"/>
      <c r="C60" s="7"/>
      <c r="D60" s="7"/>
      <c r="E60" s="7"/>
    </row>
    <row r="62" spans="1:5" ht="17.399999999999999">
      <c r="A62" s="37" t="s">
        <v>39</v>
      </c>
      <c r="B62" s="37"/>
      <c r="D62" s="37" t="s">
        <v>39</v>
      </c>
      <c r="E62" s="37"/>
    </row>
    <row r="63" spans="1:5">
      <c r="A63" s="10" t="str">
        <f>Ralph!A32</f>
        <v>Name:</v>
      </c>
      <c r="B63" s="10" t="str">
        <f>Ralph!B32</f>
        <v>Ralph</v>
      </c>
      <c r="D63" s="10" t="str">
        <f>Marlon!A32</f>
        <v>Name:</v>
      </c>
      <c r="E63" s="10" t="str">
        <f>Marlon!B32</f>
        <v>Marlon</v>
      </c>
    </row>
    <row r="64" spans="1:5">
      <c r="A64" s="10" t="str">
        <f>Ralph!A33</f>
        <v>Job Title:</v>
      </c>
      <c r="B64" s="10" t="str">
        <f>Ralph!B33</f>
        <v>Staff</v>
      </c>
      <c r="D64" s="10" t="str">
        <f>Marlon!A33</f>
        <v>Job Title:</v>
      </c>
      <c r="E64" s="10" t="str">
        <f>Marlon!B33</f>
        <v>Cook</v>
      </c>
    </row>
    <row r="65" spans="1:5">
      <c r="A65" s="10" t="str">
        <f>Ralph!A34</f>
        <v>Payment Date:</v>
      </c>
      <c r="B65" s="19">
        <f>Ralph!B34</f>
        <v>46238</v>
      </c>
      <c r="D65" s="10" t="str">
        <f>Marlon!A34</f>
        <v>Payment Date:</v>
      </c>
      <c r="E65" s="32">
        <f>Marlon!B34</f>
        <v>46238</v>
      </c>
    </row>
    <row r="66" spans="1:5">
      <c r="A66" s="10" t="str">
        <f>Ralph!A35</f>
        <v>Cut Off Period:</v>
      </c>
      <c r="B66" s="10" t="str">
        <f>Ralph!B35</f>
        <v>July-1 to July-15, 2026</v>
      </c>
      <c r="D66" s="10" t="str">
        <f>Marlon!A35</f>
        <v>Cut Off Period:</v>
      </c>
      <c r="E66" s="10" t="str">
        <f>Marlon!B35</f>
        <v>July-1 to July-15, 2026</v>
      </c>
    </row>
    <row r="67" spans="1:5">
      <c r="A67" s="10" t="str">
        <f>Ralph!A36</f>
        <v>Days Worked</v>
      </c>
      <c r="B67" s="10">
        <f>Ralph!B36</f>
        <v>15</v>
      </c>
      <c r="D67" s="10" t="str">
        <f>Marlon!A36</f>
        <v>Days Worked</v>
      </c>
      <c r="E67" s="10">
        <f>Marlon!B36</f>
        <v>14</v>
      </c>
    </row>
    <row r="68" spans="1:5">
      <c r="A68" s="13" t="str">
        <f>Ralph!A37</f>
        <v>Adjustments</v>
      </c>
      <c r="B68" s="10"/>
      <c r="D68" s="10" t="str">
        <f>Marlon!A37</f>
        <v>Adjustments</v>
      </c>
      <c r="E68" s="14">
        <f>Marlon!B37</f>
        <v>0</v>
      </c>
    </row>
    <row r="69" spans="1:5">
      <c r="A69" s="10" t="str">
        <f>Ralph!A38</f>
        <v>Basic Pay</v>
      </c>
      <c r="B69" s="14">
        <f>Ralph!B38</f>
        <v>3567.0833333333339</v>
      </c>
      <c r="D69" s="10" t="str">
        <f>Marlon!A38</f>
        <v>Basic Pay</v>
      </c>
      <c r="E69" s="14">
        <f>Marlon!B38</f>
        <v>4200</v>
      </c>
    </row>
    <row r="70" spans="1:5">
      <c r="A70" s="10" t="str">
        <f>Ralph!A39</f>
        <v>Bonus/Incentives</v>
      </c>
      <c r="B70" s="14">
        <f>Ralph!B39</f>
        <v>0</v>
      </c>
      <c r="D70" s="10" t="str">
        <f>Marlon!A39</f>
        <v>Bonus/Incentives</v>
      </c>
      <c r="E70" s="14">
        <f>Marlon!B39</f>
        <v>0</v>
      </c>
    </row>
    <row r="71" spans="1:5">
      <c r="A71" s="10" t="str">
        <f>Ralph!A40</f>
        <v>Overtime Pay</v>
      </c>
      <c r="B71" s="14">
        <f>Ralph!B40</f>
        <v>156.80000000000004</v>
      </c>
      <c r="D71" s="10" t="str">
        <f>Marlon!A40</f>
        <v>Overtime Pay</v>
      </c>
      <c r="E71" s="14">
        <f>Marlon!B40</f>
        <v>1852.5</v>
      </c>
    </row>
    <row r="72" spans="1:5">
      <c r="A72" s="10" t="str">
        <f>Ralph!A41</f>
        <v>Other Income</v>
      </c>
      <c r="B72" s="14">
        <f>Ralph!B41</f>
        <v>0</v>
      </c>
      <c r="D72" s="10" t="str">
        <f>Marlon!A41</f>
        <v>Other Income</v>
      </c>
      <c r="E72" s="14">
        <f>Marlon!B41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 t="str">
        <f>Marlon!A43</f>
        <v>Gross Pay</v>
      </c>
      <c r="E74" s="14">
        <f>Marlon!B43</f>
        <v>6052.5</v>
      </c>
    </row>
    <row r="75" spans="1:5">
      <c r="A75" s="10" t="str">
        <f>Ralph!A44</f>
        <v>Gross Pay</v>
      </c>
      <c r="B75" s="14">
        <f>Ralph!B44</f>
        <v>3723.8833333333341</v>
      </c>
      <c r="D75" s="10" t="str">
        <f>Marlon!A44</f>
        <v>Deductions</v>
      </c>
      <c r="E75" s="14"/>
    </row>
    <row r="76" spans="1:5">
      <c r="A76" s="10" t="str">
        <f>Ralph!A45</f>
        <v>Deductions</v>
      </c>
      <c r="B76" s="14">
        <f>Ralph!B45</f>
        <v>0</v>
      </c>
      <c r="D76" s="10" t="str">
        <f>Marlon!A45</f>
        <v>Allowance</v>
      </c>
      <c r="E76" s="14">
        <f>Marlon!B45</f>
        <v>-500</v>
      </c>
    </row>
    <row r="77" spans="1:5">
      <c r="A77" s="10" t="str">
        <f>Ralph!A46</f>
        <v>WH Tax</v>
      </c>
      <c r="B77" s="14">
        <f>Ralph!B46</f>
        <v>0</v>
      </c>
      <c r="D77" s="10" t="str">
        <f>Marlon!A46</f>
        <v>Allowance</v>
      </c>
      <c r="E77" s="14">
        <f>Marlon!B46</f>
        <v>-500</v>
      </c>
    </row>
    <row r="78" spans="1:5">
      <c r="A78" s="10"/>
      <c r="B78" s="14"/>
      <c r="D78" s="10"/>
      <c r="E78" s="14"/>
    </row>
    <row r="79" spans="1:5">
      <c r="A79" s="13" t="str">
        <f>Ralph!A48</f>
        <v>Net Pay</v>
      </c>
      <c r="B79" s="14">
        <f>Ralph!B48</f>
        <v>3723.8833333333341</v>
      </c>
      <c r="D79" s="10"/>
      <c r="E79" s="14"/>
    </row>
    <row r="80" spans="1:5">
      <c r="D80" s="10" t="str">
        <f>Marlon!A49</f>
        <v>Net Pay</v>
      </c>
      <c r="E80" s="14">
        <f>Marlon!B49</f>
        <v>5052.5</v>
      </c>
    </row>
    <row r="82" spans="1:5" ht="17.399999999999999">
      <c r="A82" s="37" t="s">
        <v>39</v>
      </c>
      <c r="B82" s="37"/>
      <c r="D82" s="37" t="s">
        <v>39</v>
      </c>
      <c r="E82" s="37"/>
    </row>
    <row r="83" spans="1:5">
      <c r="A83" s="10" t="str">
        <f>Brett!A29</f>
        <v>Name:</v>
      </c>
      <c r="B83" s="10" t="str">
        <f>Brett!B29</f>
        <v>Brett</v>
      </c>
      <c r="D83" s="10" t="str">
        <f>Lino!A29</f>
        <v>Name:</v>
      </c>
      <c r="E83" s="10" t="str">
        <f>Lino!B29</f>
        <v>Lino</v>
      </c>
    </row>
    <row r="84" spans="1:5">
      <c r="A84" s="10" t="str">
        <f>Brett!A30</f>
        <v>Job Title:</v>
      </c>
      <c r="B84" s="10" t="str">
        <f>Brett!B30</f>
        <v>Staff</v>
      </c>
      <c r="D84" s="10" t="str">
        <f>Lino!A30</f>
        <v>Job Title:</v>
      </c>
      <c r="E84" s="10" t="str">
        <f>Lino!B30</f>
        <v>Staff</v>
      </c>
    </row>
    <row r="85" spans="1:5">
      <c r="A85" s="10" t="str">
        <f>Brett!A31</f>
        <v>Payment Date:</v>
      </c>
      <c r="B85" s="32">
        <f>Brett!B31</f>
        <v>46223</v>
      </c>
      <c r="D85" s="10" t="str">
        <f>Lino!A31</f>
        <v>Payment Date:</v>
      </c>
      <c r="E85" s="32">
        <f>Lino!B31</f>
        <v>46238</v>
      </c>
    </row>
    <row r="86" spans="1:5">
      <c r="A86" s="10" t="str">
        <f>Brett!A32</f>
        <v>Cut Off Period:</v>
      </c>
      <c r="B86" s="10" t="str">
        <f>Brett!B32</f>
        <v>July-1 to July-15, 2026</v>
      </c>
      <c r="D86" s="10" t="str">
        <f>Lino!A32</f>
        <v>Cut Off Period:</v>
      </c>
      <c r="E86" s="10" t="str">
        <f>Lino!B32</f>
        <v>July-1 to July-15, 2026</v>
      </c>
    </row>
    <row r="87" spans="1:5">
      <c r="A87" s="10" t="str">
        <f>Brett!A33</f>
        <v>Days Worked</v>
      </c>
      <c r="B87" s="10">
        <f>Brett!B33</f>
        <v>6</v>
      </c>
      <c r="D87" s="10" t="str">
        <f>Lino!A33</f>
        <v>Days Worked</v>
      </c>
      <c r="E87" s="10">
        <f>Lino!B33</f>
        <v>13</v>
      </c>
    </row>
    <row r="88" spans="1:5">
      <c r="A88" s="10" t="str">
        <f>Brett!A34</f>
        <v>Adjustments</v>
      </c>
      <c r="B88" s="14">
        <f>Brett!B34</f>
        <v>0</v>
      </c>
      <c r="D88" s="10" t="str">
        <f>Lino!A34</f>
        <v>Adjustments</v>
      </c>
      <c r="E88" s="14">
        <f>Lino!B34</f>
        <v>0</v>
      </c>
    </row>
    <row r="89" spans="1:5">
      <c r="A89" s="10" t="str">
        <f>Brett!A35</f>
        <v>Basic Pay</v>
      </c>
      <c r="B89" s="14">
        <f>Brett!B35</f>
        <v>1250</v>
      </c>
      <c r="D89" s="10" t="str">
        <f>Lino!A35</f>
        <v>Basic Pay</v>
      </c>
      <c r="E89" s="14">
        <f>Lino!B35</f>
        <v>2600</v>
      </c>
    </row>
    <row r="90" spans="1:5">
      <c r="A90" s="10" t="str">
        <f>Brett!A36</f>
        <v>Bonus/Incentives</v>
      </c>
      <c r="B90" s="14">
        <f>Brett!B36</f>
        <v>0</v>
      </c>
      <c r="D90" s="10" t="str">
        <f>Lino!A36</f>
        <v>Bonus/Incentives</v>
      </c>
      <c r="E90" s="14">
        <f>Lino!B36</f>
        <v>0</v>
      </c>
    </row>
    <row r="91" spans="1:5">
      <c r="A91" s="10" t="str">
        <f>Brett!A37</f>
        <v>Overtime Pay</v>
      </c>
      <c r="B91" s="14">
        <f>Brett!B37</f>
        <v>230.62499999999994</v>
      </c>
      <c r="D91" s="10" t="str">
        <f>Lino!A37</f>
        <v>Overtime Pay</v>
      </c>
      <c r="E91" s="14">
        <f>Lino!B37</f>
        <v>912.5</v>
      </c>
    </row>
    <row r="92" spans="1:5">
      <c r="A92" s="10" t="str">
        <f>Brett!A38</f>
        <v>Other Income</v>
      </c>
      <c r="B92" s="14">
        <f>Brett!B38</f>
        <v>0</v>
      </c>
      <c r="D92" s="10" t="str">
        <f>Lino!A38</f>
        <v>Other Income</v>
      </c>
      <c r="E92" s="14">
        <f>Lino!B38</f>
        <v>0</v>
      </c>
    </row>
    <row r="93" spans="1:5">
      <c r="A93" s="10"/>
      <c r="B93" s="14"/>
      <c r="D93" s="10"/>
      <c r="E93" s="14"/>
    </row>
    <row r="94" spans="1:5">
      <c r="A94" s="10"/>
      <c r="B94" s="14"/>
      <c r="D94" s="10"/>
      <c r="E94" s="14"/>
    </row>
    <row r="95" spans="1:5">
      <c r="A95" s="10" t="str">
        <f>Brett!A41</f>
        <v>Gross Pay</v>
      </c>
      <c r="B95" s="14">
        <f>Brett!B41</f>
        <v>1480.625</v>
      </c>
      <c r="D95" s="10" t="str">
        <f>Lino!A41</f>
        <v>Gross Pay</v>
      </c>
      <c r="E95" s="14">
        <f>Lino!B41</f>
        <v>3512.5</v>
      </c>
    </row>
    <row r="96" spans="1:5">
      <c r="A96" s="10" t="str">
        <f>Brett!A42</f>
        <v>Deductions</v>
      </c>
      <c r="B96" s="14">
        <f>Brett!B42</f>
        <v>0</v>
      </c>
      <c r="D96" s="10" t="str">
        <f>Lino!A42</f>
        <v>Deductions</v>
      </c>
      <c r="E96" s="14"/>
    </row>
    <row r="97" spans="1:5">
      <c r="A97" s="10" t="str">
        <f>Brett!A43</f>
        <v>Allowance</v>
      </c>
      <c r="B97" s="14">
        <f>Brett!B43</f>
        <v>-500</v>
      </c>
      <c r="D97" s="10"/>
      <c r="E97" s="14"/>
    </row>
    <row r="98" spans="1:5">
      <c r="A98" s="10"/>
      <c r="B98" s="14"/>
      <c r="D98" s="10"/>
      <c r="E98" s="14"/>
    </row>
    <row r="99" spans="1:5">
      <c r="A99" s="10"/>
      <c r="B99" s="14"/>
      <c r="D99" s="10" t="str">
        <f>Lino!A43</f>
        <v>.</v>
      </c>
      <c r="E99" s="14"/>
    </row>
    <row r="100" spans="1:5">
      <c r="A100" s="10" t="str">
        <f>Brett!A46</f>
        <v>Net Pay</v>
      </c>
      <c r="B100" s="14">
        <f>Brett!B46</f>
        <v>980.625</v>
      </c>
      <c r="D100" s="10" t="str">
        <f>Lino!A44</f>
        <v>Net Pay</v>
      </c>
      <c r="E100" s="14">
        <f>Lino!B44</f>
        <v>3512.5</v>
      </c>
    </row>
    <row r="101" spans="1:5">
      <c r="A101" s="10"/>
      <c r="B101" s="14"/>
    </row>
  </sheetData>
  <mergeCells count="10">
    <mergeCell ref="D82:E82"/>
    <mergeCell ref="A62:B62"/>
    <mergeCell ref="D62:E62"/>
    <mergeCell ref="A1:B1"/>
    <mergeCell ref="D1:E1"/>
    <mergeCell ref="A21:B21"/>
    <mergeCell ref="D21:E21"/>
    <mergeCell ref="A42:B42"/>
    <mergeCell ref="D42:E42"/>
    <mergeCell ref="A82:B8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D160"/>
  <sheetViews>
    <sheetView topLeftCell="A22" zoomScale="145" zoomScaleNormal="145" workbookViewId="0">
      <selection activeCell="B1" sqref="B1:B1048576"/>
    </sheetView>
  </sheetViews>
  <sheetFormatPr defaultColWidth="12.109375" defaultRowHeight="14.4"/>
  <sheetData>
    <row r="1" spans="1:4">
      <c r="A1" s="34" t="s">
        <v>102</v>
      </c>
      <c r="B1" s="35" t="s">
        <v>210</v>
      </c>
      <c r="C1" s="36" t="s">
        <v>211</v>
      </c>
      <c r="D1" s="36" t="s">
        <v>212</v>
      </c>
    </row>
    <row r="2" spans="1:4">
      <c r="A2" s="34" t="s">
        <v>102</v>
      </c>
      <c r="B2" s="35" t="s">
        <v>213</v>
      </c>
      <c r="C2" s="36" t="s">
        <v>121</v>
      </c>
      <c r="D2" s="36" t="s">
        <v>111</v>
      </c>
    </row>
    <row r="3" spans="1:4">
      <c r="A3" s="34" t="s">
        <v>102</v>
      </c>
      <c r="B3" s="35" t="s">
        <v>214</v>
      </c>
      <c r="C3" s="35" t="s">
        <v>215</v>
      </c>
      <c r="D3" s="36" t="s">
        <v>216</v>
      </c>
    </row>
    <row r="4" spans="1:4">
      <c r="A4" s="34" t="s">
        <v>102</v>
      </c>
      <c r="B4" s="35" t="s">
        <v>217</v>
      </c>
      <c r="C4" s="36" t="s">
        <v>126</v>
      </c>
      <c r="D4" s="36" t="s">
        <v>218</v>
      </c>
    </row>
    <row r="5" spans="1:4">
      <c r="A5" s="34" t="s">
        <v>102</v>
      </c>
      <c r="B5" s="35" t="s">
        <v>219</v>
      </c>
      <c r="C5" s="36" t="s">
        <v>149</v>
      </c>
      <c r="D5" s="36" t="s">
        <v>195</v>
      </c>
    </row>
    <row r="6" spans="1:4">
      <c r="A6" s="34" t="s">
        <v>102</v>
      </c>
      <c r="B6" s="35" t="s">
        <v>220</v>
      </c>
      <c r="C6" s="36" t="s">
        <v>78</v>
      </c>
      <c r="D6" s="36" t="s">
        <v>169</v>
      </c>
    </row>
    <row r="7" spans="1:4">
      <c r="A7" s="34" t="s">
        <v>102</v>
      </c>
      <c r="B7" s="35" t="s">
        <v>221</v>
      </c>
      <c r="C7" s="36" t="s">
        <v>72</v>
      </c>
      <c r="D7" s="36" t="s">
        <v>72</v>
      </c>
    </row>
    <row r="8" spans="1:4">
      <c r="A8" s="34" t="s">
        <v>102</v>
      </c>
      <c r="B8" s="35" t="s">
        <v>222</v>
      </c>
      <c r="C8" s="36" t="s">
        <v>165</v>
      </c>
      <c r="D8" s="36" t="s">
        <v>170</v>
      </c>
    </row>
    <row r="9" spans="1:4">
      <c r="A9" s="34" t="s">
        <v>102</v>
      </c>
      <c r="B9" s="35" t="s">
        <v>223</v>
      </c>
      <c r="C9" s="36" t="s">
        <v>153</v>
      </c>
      <c r="D9" s="36" t="s">
        <v>224</v>
      </c>
    </row>
    <row r="10" spans="1:4">
      <c r="A10" s="34" t="s">
        <v>102</v>
      </c>
      <c r="B10" s="35" t="s">
        <v>225</v>
      </c>
      <c r="C10" s="36" t="s">
        <v>175</v>
      </c>
      <c r="D10" s="36" t="s">
        <v>226</v>
      </c>
    </row>
    <row r="11" spans="1:4">
      <c r="A11" s="34" t="s">
        <v>102</v>
      </c>
      <c r="B11" s="35" t="s">
        <v>227</v>
      </c>
      <c r="C11" s="36" t="s">
        <v>69</v>
      </c>
      <c r="D11" s="36" t="s">
        <v>191</v>
      </c>
    </row>
    <row r="12" spans="1:4">
      <c r="A12" s="34" t="s">
        <v>102</v>
      </c>
      <c r="B12" s="35" t="s">
        <v>228</v>
      </c>
      <c r="C12" s="36" t="s">
        <v>68</v>
      </c>
      <c r="D12" s="36" t="s">
        <v>229</v>
      </c>
    </row>
    <row r="13" spans="1:4">
      <c r="A13" s="34" t="s">
        <v>102</v>
      </c>
      <c r="B13" s="35" t="s">
        <v>230</v>
      </c>
      <c r="C13" s="36" t="s">
        <v>121</v>
      </c>
      <c r="D13" s="36" t="s">
        <v>231</v>
      </c>
    </row>
    <row r="14" spans="1:4">
      <c r="A14" s="34" t="s">
        <v>102</v>
      </c>
      <c r="B14" s="35" t="s">
        <v>232</v>
      </c>
      <c r="C14" s="35" t="s">
        <v>233</v>
      </c>
      <c r="D14" s="36" t="s">
        <v>234</v>
      </c>
    </row>
    <row r="15" spans="1:4">
      <c r="A15" s="34" t="s">
        <v>102</v>
      </c>
      <c r="B15" s="35" t="s">
        <v>235</v>
      </c>
      <c r="C15" s="36" t="s">
        <v>72</v>
      </c>
      <c r="D15" s="36" t="s">
        <v>72</v>
      </c>
    </row>
    <row r="16" spans="1:4">
      <c r="A16" s="34" t="s">
        <v>102</v>
      </c>
      <c r="B16" s="35" t="s">
        <v>236</v>
      </c>
      <c r="C16" s="36" t="s">
        <v>164</v>
      </c>
      <c r="D16" s="36" t="s">
        <v>237</v>
      </c>
    </row>
    <row r="17" spans="1:4">
      <c r="A17" s="34" t="s">
        <v>190</v>
      </c>
      <c r="B17" s="35" t="s">
        <v>210</v>
      </c>
      <c r="C17" s="36" t="s">
        <v>238</v>
      </c>
      <c r="D17" s="36" t="s">
        <v>72</v>
      </c>
    </row>
    <row r="18" spans="1:4">
      <c r="A18" s="34" t="s">
        <v>190</v>
      </c>
      <c r="B18" s="35" t="s">
        <v>213</v>
      </c>
      <c r="C18" s="36" t="s">
        <v>239</v>
      </c>
      <c r="D18" s="36" t="s">
        <v>240</v>
      </c>
    </row>
    <row r="19" spans="1:4">
      <c r="A19" s="34" t="s">
        <v>190</v>
      </c>
      <c r="B19" s="35" t="s">
        <v>214</v>
      </c>
      <c r="C19" s="35" t="s">
        <v>241</v>
      </c>
      <c r="D19" s="36" t="s">
        <v>242</v>
      </c>
    </row>
    <row r="20" spans="1:4">
      <c r="A20" s="34" t="s">
        <v>190</v>
      </c>
      <c r="B20" s="35" t="s">
        <v>217</v>
      </c>
      <c r="C20" s="36" t="s">
        <v>72</v>
      </c>
      <c r="D20" s="36" t="s">
        <v>72</v>
      </c>
    </row>
    <row r="21" spans="1:4">
      <c r="A21" s="34" t="s">
        <v>190</v>
      </c>
      <c r="B21" s="35" t="s">
        <v>219</v>
      </c>
      <c r="C21" s="36" t="s">
        <v>72</v>
      </c>
      <c r="D21" s="36" t="s">
        <v>72</v>
      </c>
    </row>
    <row r="22" spans="1:4">
      <c r="A22" s="34" t="s">
        <v>190</v>
      </c>
      <c r="B22" s="35" t="s">
        <v>220</v>
      </c>
      <c r="C22" s="36" t="s">
        <v>78</v>
      </c>
      <c r="D22" s="36" t="s">
        <v>243</v>
      </c>
    </row>
    <row r="23" spans="1:4">
      <c r="A23" s="34" t="s">
        <v>190</v>
      </c>
      <c r="B23" s="35" t="s">
        <v>221</v>
      </c>
      <c r="C23" s="36" t="s">
        <v>72</v>
      </c>
      <c r="D23" s="36" t="s">
        <v>72</v>
      </c>
    </row>
    <row r="24" spans="1:4">
      <c r="A24" s="34" t="s">
        <v>190</v>
      </c>
      <c r="B24" s="35" t="s">
        <v>222</v>
      </c>
      <c r="C24" s="36" t="s">
        <v>239</v>
      </c>
      <c r="D24" s="36" t="s">
        <v>128</v>
      </c>
    </row>
    <row r="25" spans="1:4">
      <c r="A25" s="34" t="s">
        <v>190</v>
      </c>
      <c r="B25" s="35" t="s">
        <v>223</v>
      </c>
      <c r="C25" s="36" t="s">
        <v>153</v>
      </c>
      <c r="D25" s="36" t="s">
        <v>72</v>
      </c>
    </row>
    <row r="26" spans="1:4">
      <c r="A26" s="34" t="s">
        <v>190</v>
      </c>
      <c r="B26" s="35" t="s">
        <v>225</v>
      </c>
      <c r="C26" s="36" t="s">
        <v>78</v>
      </c>
      <c r="D26" s="36" t="s">
        <v>226</v>
      </c>
    </row>
    <row r="27" spans="1:4">
      <c r="A27" s="34" t="s">
        <v>190</v>
      </c>
      <c r="B27" s="35" t="s">
        <v>227</v>
      </c>
      <c r="C27" s="36" t="s">
        <v>244</v>
      </c>
      <c r="D27" s="36" t="s">
        <v>169</v>
      </c>
    </row>
    <row r="28" spans="1:4">
      <c r="A28" s="34" t="s">
        <v>190</v>
      </c>
      <c r="B28" s="35" t="s">
        <v>228</v>
      </c>
      <c r="C28" s="36" t="s">
        <v>121</v>
      </c>
      <c r="D28" s="36" t="s">
        <v>226</v>
      </c>
    </row>
    <row r="29" spans="1:4">
      <c r="A29" s="34" t="s">
        <v>190</v>
      </c>
      <c r="B29" s="35" t="s">
        <v>230</v>
      </c>
      <c r="C29" s="36" t="s">
        <v>121</v>
      </c>
      <c r="D29" s="36" t="s">
        <v>245</v>
      </c>
    </row>
    <row r="30" spans="1:4">
      <c r="A30" s="34" t="s">
        <v>190</v>
      </c>
      <c r="B30" s="35" t="s">
        <v>232</v>
      </c>
      <c r="C30" s="36" t="s">
        <v>149</v>
      </c>
      <c r="D30" s="36" t="s">
        <v>246</v>
      </c>
    </row>
    <row r="31" spans="1:4">
      <c r="A31" s="34" t="s">
        <v>190</v>
      </c>
      <c r="B31" s="35" t="s">
        <v>235</v>
      </c>
      <c r="C31" s="36" t="s">
        <v>72</v>
      </c>
      <c r="D31" s="36" t="s">
        <v>72</v>
      </c>
    </row>
    <row r="32" spans="1:4">
      <c r="A32" s="34" t="s">
        <v>190</v>
      </c>
      <c r="B32" s="35" t="s">
        <v>236</v>
      </c>
      <c r="C32" s="36" t="s">
        <v>121</v>
      </c>
      <c r="D32" s="36" t="s">
        <v>237</v>
      </c>
    </row>
    <row r="33" spans="1:4">
      <c r="A33" s="34" t="s">
        <v>163</v>
      </c>
      <c r="B33" s="35" t="s">
        <v>210</v>
      </c>
      <c r="C33" s="36" t="s">
        <v>72</v>
      </c>
      <c r="D33" s="36" t="s">
        <v>72</v>
      </c>
    </row>
    <row r="34" spans="1:4">
      <c r="A34" s="34" t="s">
        <v>163</v>
      </c>
      <c r="B34" s="35" t="s">
        <v>213</v>
      </c>
      <c r="C34" s="36" t="s">
        <v>72</v>
      </c>
      <c r="D34" s="36" t="s">
        <v>72</v>
      </c>
    </row>
    <row r="35" spans="1:4">
      <c r="A35" s="34" t="s">
        <v>163</v>
      </c>
      <c r="B35" s="35" t="s">
        <v>214</v>
      </c>
      <c r="C35" s="36" t="s">
        <v>72</v>
      </c>
      <c r="D35" s="36" t="s">
        <v>72</v>
      </c>
    </row>
    <row r="36" spans="1:4">
      <c r="A36" s="34" t="s">
        <v>163</v>
      </c>
      <c r="B36" s="35" t="s">
        <v>217</v>
      </c>
      <c r="C36" s="36" t="s">
        <v>72</v>
      </c>
      <c r="D36" s="36" t="s">
        <v>72</v>
      </c>
    </row>
    <row r="37" spans="1:4">
      <c r="A37" s="34" t="s">
        <v>163</v>
      </c>
      <c r="B37" s="35" t="s">
        <v>219</v>
      </c>
      <c r="C37" s="36" t="s">
        <v>72</v>
      </c>
      <c r="D37" s="36" t="s">
        <v>72</v>
      </c>
    </row>
    <row r="38" spans="1:4">
      <c r="A38" s="34" t="s">
        <v>163</v>
      </c>
      <c r="B38" s="35" t="s">
        <v>220</v>
      </c>
      <c r="C38" s="36" t="s">
        <v>72</v>
      </c>
      <c r="D38" s="36" t="s">
        <v>72</v>
      </c>
    </row>
    <row r="39" spans="1:4">
      <c r="A39" s="34" t="s">
        <v>163</v>
      </c>
      <c r="B39" s="35" t="s">
        <v>221</v>
      </c>
      <c r="C39" s="36" t="s">
        <v>72</v>
      </c>
      <c r="D39" s="36" t="s">
        <v>72</v>
      </c>
    </row>
    <row r="40" spans="1:4">
      <c r="A40" s="34" t="s">
        <v>163</v>
      </c>
      <c r="B40" s="35" t="s">
        <v>222</v>
      </c>
      <c r="C40" s="36" t="s">
        <v>72</v>
      </c>
      <c r="D40" s="36" t="s">
        <v>72</v>
      </c>
    </row>
    <row r="41" spans="1:4">
      <c r="A41" s="34" t="s">
        <v>163</v>
      </c>
      <c r="B41" s="35" t="s">
        <v>223</v>
      </c>
      <c r="C41" s="36" t="s">
        <v>72</v>
      </c>
      <c r="D41" s="36" t="s">
        <v>72</v>
      </c>
    </row>
    <row r="42" spans="1:4">
      <c r="A42" s="34" t="s">
        <v>163</v>
      </c>
      <c r="B42" s="35" t="s">
        <v>225</v>
      </c>
      <c r="C42" s="36" t="s">
        <v>72</v>
      </c>
      <c r="D42" s="36" t="s">
        <v>72</v>
      </c>
    </row>
    <row r="43" spans="1:4">
      <c r="A43" s="34" t="s">
        <v>163</v>
      </c>
      <c r="B43" s="35" t="s">
        <v>227</v>
      </c>
      <c r="C43" s="36" t="s">
        <v>72</v>
      </c>
      <c r="D43" s="36" t="s">
        <v>72</v>
      </c>
    </row>
    <row r="44" spans="1:4">
      <c r="A44" s="34" t="s">
        <v>163</v>
      </c>
      <c r="B44" s="35" t="s">
        <v>228</v>
      </c>
      <c r="C44" s="36" t="s">
        <v>72</v>
      </c>
      <c r="D44" s="36" t="s">
        <v>72</v>
      </c>
    </row>
    <row r="45" spans="1:4">
      <c r="A45" s="34" t="s">
        <v>163</v>
      </c>
      <c r="B45" s="35" t="s">
        <v>230</v>
      </c>
      <c r="C45" s="36" t="s">
        <v>72</v>
      </c>
      <c r="D45" s="36" t="s">
        <v>72</v>
      </c>
    </row>
    <row r="46" spans="1:4">
      <c r="A46" s="34" t="s">
        <v>163</v>
      </c>
      <c r="B46" s="35" t="s">
        <v>232</v>
      </c>
      <c r="C46" s="36" t="s">
        <v>72</v>
      </c>
      <c r="D46" s="36" t="s">
        <v>72</v>
      </c>
    </row>
    <row r="47" spans="1:4">
      <c r="A47" s="34" t="s">
        <v>163</v>
      </c>
      <c r="B47" s="35" t="s">
        <v>235</v>
      </c>
      <c r="C47" s="36" t="s">
        <v>72</v>
      </c>
      <c r="D47" s="36" t="s">
        <v>72</v>
      </c>
    </row>
    <row r="48" spans="1:4">
      <c r="A48" s="34" t="s">
        <v>163</v>
      </c>
      <c r="B48" s="35" t="s">
        <v>236</v>
      </c>
      <c r="C48" s="36" t="s">
        <v>72</v>
      </c>
      <c r="D48" s="36" t="s">
        <v>72</v>
      </c>
    </row>
    <row r="49" spans="1:4">
      <c r="A49" s="34" t="s">
        <v>194</v>
      </c>
      <c r="B49" s="35" t="s">
        <v>210</v>
      </c>
      <c r="C49" s="36" t="s">
        <v>72</v>
      </c>
      <c r="D49" s="36" t="s">
        <v>72</v>
      </c>
    </row>
    <row r="50" spans="1:4">
      <c r="A50" s="34" t="s">
        <v>194</v>
      </c>
      <c r="B50" s="35" t="s">
        <v>213</v>
      </c>
      <c r="C50" s="36" t="s">
        <v>72</v>
      </c>
      <c r="D50" s="36" t="s">
        <v>72</v>
      </c>
    </row>
    <row r="51" spans="1:4">
      <c r="A51" s="34" t="s">
        <v>194</v>
      </c>
      <c r="B51" s="35" t="s">
        <v>214</v>
      </c>
      <c r="C51" s="36" t="s">
        <v>72</v>
      </c>
      <c r="D51" s="36" t="s">
        <v>72</v>
      </c>
    </row>
    <row r="52" spans="1:4">
      <c r="A52" s="34" t="s">
        <v>194</v>
      </c>
      <c r="B52" s="35" t="s">
        <v>217</v>
      </c>
      <c r="C52" s="36" t="s">
        <v>72</v>
      </c>
      <c r="D52" s="36" t="s">
        <v>72</v>
      </c>
    </row>
    <row r="53" spans="1:4">
      <c r="A53" s="34" t="s">
        <v>194</v>
      </c>
      <c r="B53" s="35" t="s">
        <v>219</v>
      </c>
      <c r="C53" s="36" t="s">
        <v>72</v>
      </c>
      <c r="D53" s="36" t="s">
        <v>72</v>
      </c>
    </row>
    <row r="54" spans="1:4">
      <c r="A54" s="34" t="s">
        <v>194</v>
      </c>
      <c r="B54" s="35" t="s">
        <v>220</v>
      </c>
      <c r="C54" s="36" t="s">
        <v>72</v>
      </c>
      <c r="D54" s="36" t="s">
        <v>72</v>
      </c>
    </row>
    <row r="55" spans="1:4">
      <c r="A55" s="34" t="s">
        <v>194</v>
      </c>
      <c r="B55" s="35" t="s">
        <v>221</v>
      </c>
      <c r="C55" s="36" t="s">
        <v>72</v>
      </c>
      <c r="D55" s="36" t="s">
        <v>72</v>
      </c>
    </row>
    <row r="56" spans="1:4">
      <c r="A56" s="34" t="s">
        <v>194</v>
      </c>
      <c r="B56" s="35" t="s">
        <v>222</v>
      </c>
      <c r="C56" s="36" t="s">
        <v>72</v>
      </c>
      <c r="D56" s="36" t="s">
        <v>72</v>
      </c>
    </row>
    <row r="57" spans="1:4">
      <c r="A57" s="34" t="s">
        <v>194</v>
      </c>
      <c r="B57" s="35" t="s">
        <v>223</v>
      </c>
      <c r="C57" s="36" t="s">
        <v>72</v>
      </c>
      <c r="D57" s="36" t="s">
        <v>72</v>
      </c>
    </row>
    <row r="58" spans="1:4">
      <c r="A58" s="34" t="s">
        <v>194</v>
      </c>
      <c r="B58" s="35" t="s">
        <v>225</v>
      </c>
      <c r="C58" s="36" t="s">
        <v>72</v>
      </c>
      <c r="D58" s="36" t="s">
        <v>72</v>
      </c>
    </row>
    <row r="59" spans="1:4">
      <c r="A59" s="34" t="s">
        <v>194</v>
      </c>
      <c r="B59" s="35" t="s">
        <v>227</v>
      </c>
      <c r="C59" s="36" t="s">
        <v>72</v>
      </c>
      <c r="D59" s="36" t="s">
        <v>72</v>
      </c>
    </row>
    <row r="60" spans="1:4">
      <c r="A60" s="34" t="s">
        <v>194</v>
      </c>
      <c r="B60" s="35" t="s">
        <v>228</v>
      </c>
      <c r="C60" s="36" t="s">
        <v>72</v>
      </c>
      <c r="D60" s="36" t="s">
        <v>72</v>
      </c>
    </row>
    <row r="61" spans="1:4">
      <c r="A61" s="34" t="s">
        <v>194</v>
      </c>
      <c r="B61" s="35" t="s">
        <v>230</v>
      </c>
      <c r="C61" s="36" t="s">
        <v>72</v>
      </c>
      <c r="D61" s="36" t="s">
        <v>72</v>
      </c>
    </row>
    <row r="62" spans="1:4">
      <c r="A62" s="34" t="s">
        <v>194</v>
      </c>
      <c r="B62" s="35" t="s">
        <v>232</v>
      </c>
      <c r="C62" s="36" t="s">
        <v>72</v>
      </c>
      <c r="D62" s="36" t="s">
        <v>72</v>
      </c>
    </row>
    <row r="63" spans="1:4">
      <c r="A63" s="34" t="s">
        <v>194</v>
      </c>
      <c r="B63" s="35" t="s">
        <v>235</v>
      </c>
      <c r="C63" s="36" t="s">
        <v>72</v>
      </c>
      <c r="D63" s="36" t="s">
        <v>72</v>
      </c>
    </row>
    <row r="64" spans="1:4">
      <c r="A64" s="34" t="s">
        <v>194</v>
      </c>
      <c r="B64" s="35" t="s">
        <v>236</v>
      </c>
      <c r="C64" s="36" t="s">
        <v>72</v>
      </c>
      <c r="D64" s="36" t="s">
        <v>72</v>
      </c>
    </row>
    <row r="65" spans="1:4">
      <c r="A65" s="34" t="s">
        <v>150</v>
      </c>
      <c r="B65" s="35" t="s">
        <v>210</v>
      </c>
      <c r="C65" s="36" t="s">
        <v>121</v>
      </c>
      <c r="D65" s="36" t="s">
        <v>247</v>
      </c>
    </row>
    <row r="66" spans="1:4">
      <c r="A66" s="34" t="s">
        <v>150</v>
      </c>
      <c r="B66" s="35" t="s">
        <v>213</v>
      </c>
      <c r="C66" s="36" t="s">
        <v>121</v>
      </c>
      <c r="D66" s="36" t="s">
        <v>191</v>
      </c>
    </row>
    <row r="67" spans="1:4">
      <c r="A67" s="34" t="s">
        <v>150</v>
      </c>
      <c r="B67" s="35" t="s">
        <v>214</v>
      </c>
      <c r="C67" s="35" t="s">
        <v>248</v>
      </c>
      <c r="D67" s="36" t="s">
        <v>249</v>
      </c>
    </row>
    <row r="68" spans="1:4">
      <c r="A68" s="34" t="s">
        <v>150</v>
      </c>
      <c r="B68" s="35" t="s">
        <v>217</v>
      </c>
      <c r="C68" s="36" t="s">
        <v>64</v>
      </c>
      <c r="D68" s="36" t="s">
        <v>250</v>
      </c>
    </row>
    <row r="69" spans="1:4">
      <c r="A69" s="34" t="s">
        <v>150</v>
      </c>
      <c r="B69" s="35" t="s">
        <v>219</v>
      </c>
      <c r="C69" s="36" t="s">
        <v>68</v>
      </c>
      <c r="D69" s="36" t="s">
        <v>177</v>
      </c>
    </row>
    <row r="70" spans="1:4">
      <c r="A70" s="34" t="s">
        <v>150</v>
      </c>
      <c r="B70" s="35" t="s">
        <v>220</v>
      </c>
      <c r="C70" s="36" t="s">
        <v>62</v>
      </c>
      <c r="D70" s="36" t="s">
        <v>169</v>
      </c>
    </row>
    <row r="71" spans="1:4">
      <c r="A71" s="34" t="s">
        <v>150</v>
      </c>
      <c r="B71" s="35" t="s">
        <v>221</v>
      </c>
      <c r="C71" s="36" t="s">
        <v>72</v>
      </c>
      <c r="D71" s="36" t="s">
        <v>72</v>
      </c>
    </row>
    <row r="72" spans="1:4">
      <c r="A72" s="34" t="s">
        <v>150</v>
      </c>
      <c r="B72" s="35" t="s">
        <v>222</v>
      </c>
      <c r="C72" s="36" t="s">
        <v>68</v>
      </c>
      <c r="D72" s="36" t="s">
        <v>111</v>
      </c>
    </row>
    <row r="73" spans="1:4">
      <c r="A73" s="34" t="s">
        <v>150</v>
      </c>
      <c r="B73" s="35" t="s">
        <v>223</v>
      </c>
      <c r="C73" s="36" t="s">
        <v>72</v>
      </c>
      <c r="D73" s="36" t="s">
        <v>72</v>
      </c>
    </row>
    <row r="74" spans="1:4">
      <c r="A74" s="34" t="s">
        <v>150</v>
      </c>
      <c r="B74" s="35" t="s">
        <v>225</v>
      </c>
      <c r="C74" s="36" t="s">
        <v>78</v>
      </c>
      <c r="D74" s="36" t="s">
        <v>54</v>
      </c>
    </row>
    <row r="75" spans="1:4">
      <c r="A75" s="34" t="s">
        <v>150</v>
      </c>
      <c r="B75" s="35" t="s">
        <v>227</v>
      </c>
      <c r="C75" s="36" t="s">
        <v>251</v>
      </c>
      <c r="D75" s="36" t="s">
        <v>204</v>
      </c>
    </row>
    <row r="76" spans="1:4">
      <c r="A76" s="34" t="s">
        <v>150</v>
      </c>
      <c r="B76" s="35" t="s">
        <v>228</v>
      </c>
      <c r="C76" s="36" t="s">
        <v>69</v>
      </c>
      <c r="D76" s="36" t="s">
        <v>252</v>
      </c>
    </row>
    <row r="77" spans="1:4">
      <c r="A77" s="34" t="s">
        <v>150</v>
      </c>
      <c r="B77" s="35" t="s">
        <v>230</v>
      </c>
      <c r="C77" s="36" t="s">
        <v>70</v>
      </c>
      <c r="D77" s="36" t="s">
        <v>202</v>
      </c>
    </row>
    <row r="78" spans="1:4">
      <c r="A78" s="34" t="s">
        <v>150</v>
      </c>
      <c r="B78" s="35" t="s">
        <v>232</v>
      </c>
      <c r="C78" s="36" t="s">
        <v>72</v>
      </c>
      <c r="D78" s="36" t="s">
        <v>72</v>
      </c>
    </row>
    <row r="79" spans="1:4">
      <c r="A79" s="34" t="s">
        <v>150</v>
      </c>
      <c r="B79" s="35" t="s">
        <v>235</v>
      </c>
      <c r="C79" s="36" t="s">
        <v>121</v>
      </c>
      <c r="D79" s="36" t="s">
        <v>253</v>
      </c>
    </row>
    <row r="80" spans="1:4">
      <c r="A80" s="34" t="s">
        <v>150</v>
      </c>
      <c r="B80" s="35" t="s">
        <v>236</v>
      </c>
      <c r="C80" s="36" t="s">
        <v>67</v>
      </c>
      <c r="D80" s="36" t="s">
        <v>193</v>
      </c>
    </row>
    <row r="81" spans="1:4">
      <c r="A81" s="34" t="s">
        <v>81</v>
      </c>
      <c r="B81" s="35" t="s">
        <v>210</v>
      </c>
      <c r="C81" s="36" t="s">
        <v>161</v>
      </c>
      <c r="D81" s="36" t="s">
        <v>212</v>
      </c>
    </row>
    <row r="82" spans="1:4">
      <c r="A82" s="34" t="s">
        <v>81</v>
      </c>
      <c r="B82" s="35" t="s">
        <v>213</v>
      </c>
      <c r="C82" s="36" t="s">
        <v>62</v>
      </c>
      <c r="D82" s="36" t="s">
        <v>111</v>
      </c>
    </row>
    <row r="83" spans="1:4">
      <c r="A83" s="34" t="s">
        <v>81</v>
      </c>
      <c r="B83" s="35" t="s">
        <v>214</v>
      </c>
      <c r="C83" s="36" t="s">
        <v>254</v>
      </c>
      <c r="D83" s="36" t="s">
        <v>192</v>
      </c>
    </row>
    <row r="84" spans="1:4">
      <c r="A84" s="34" t="s">
        <v>81</v>
      </c>
      <c r="B84" s="35" t="s">
        <v>217</v>
      </c>
      <c r="C84" s="36" t="s">
        <v>67</v>
      </c>
      <c r="D84" s="36" t="s">
        <v>250</v>
      </c>
    </row>
    <row r="85" spans="1:4">
      <c r="A85" s="34" t="s">
        <v>81</v>
      </c>
      <c r="B85" s="35" t="s">
        <v>219</v>
      </c>
      <c r="C85" s="36" t="s">
        <v>255</v>
      </c>
      <c r="D85" s="36" t="s">
        <v>195</v>
      </c>
    </row>
    <row r="86" spans="1:4">
      <c r="A86" s="34" t="s">
        <v>81</v>
      </c>
      <c r="B86" s="35" t="s">
        <v>220</v>
      </c>
      <c r="C86" s="36" t="s">
        <v>175</v>
      </c>
      <c r="D86" s="36" t="s">
        <v>204</v>
      </c>
    </row>
    <row r="87" spans="1:4">
      <c r="A87" s="34" t="s">
        <v>81</v>
      </c>
      <c r="B87" s="35" t="s">
        <v>221</v>
      </c>
      <c r="C87" s="36" t="s">
        <v>72</v>
      </c>
      <c r="D87" s="36" t="s">
        <v>72</v>
      </c>
    </row>
    <row r="88" spans="1:4">
      <c r="A88" s="34" t="s">
        <v>81</v>
      </c>
      <c r="B88" s="35" t="s">
        <v>222</v>
      </c>
      <c r="C88" s="36" t="s">
        <v>165</v>
      </c>
      <c r="D88" s="36" t="s">
        <v>204</v>
      </c>
    </row>
    <row r="89" spans="1:4">
      <c r="A89" s="34" t="s">
        <v>81</v>
      </c>
      <c r="B89" s="35" t="s">
        <v>223</v>
      </c>
      <c r="C89" s="36" t="s">
        <v>153</v>
      </c>
      <c r="D89" s="36" t="s">
        <v>256</v>
      </c>
    </row>
    <row r="90" spans="1:4">
      <c r="A90" s="34" t="s">
        <v>81</v>
      </c>
      <c r="B90" s="35" t="s">
        <v>225</v>
      </c>
      <c r="C90" s="36" t="s">
        <v>175</v>
      </c>
      <c r="D90" s="36" t="s">
        <v>226</v>
      </c>
    </row>
    <row r="91" spans="1:4">
      <c r="A91" s="34" t="s">
        <v>81</v>
      </c>
      <c r="B91" s="35" t="s">
        <v>227</v>
      </c>
      <c r="C91" s="36" t="s">
        <v>175</v>
      </c>
      <c r="D91" s="36" t="s">
        <v>245</v>
      </c>
    </row>
    <row r="92" spans="1:4">
      <c r="A92" s="34" t="s">
        <v>81</v>
      </c>
      <c r="B92" s="35" t="s">
        <v>228</v>
      </c>
      <c r="C92" s="36" t="s">
        <v>257</v>
      </c>
      <c r="D92" s="36" t="s">
        <v>226</v>
      </c>
    </row>
    <row r="93" spans="1:4">
      <c r="A93" s="34" t="s">
        <v>81</v>
      </c>
      <c r="B93" s="35" t="s">
        <v>230</v>
      </c>
      <c r="C93" s="36" t="s">
        <v>129</v>
      </c>
      <c r="D93" s="36" t="s">
        <v>231</v>
      </c>
    </row>
    <row r="94" spans="1:4">
      <c r="A94" s="34" t="s">
        <v>81</v>
      </c>
      <c r="B94" s="35" t="s">
        <v>232</v>
      </c>
      <c r="C94" s="36" t="s">
        <v>72</v>
      </c>
      <c r="D94" s="36" t="s">
        <v>72</v>
      </c>
    </row>
    <row r="95" spans="1:4">
      <c r="A95" s="34" t="s">
        <v>81</v>
      </c>
      <c r="B95" s="35" t="s">
        <v>235</v>
      </c>
      <c r="C95" s="36" t="s">
        <v>126</v>
      </c>
      <c r="D95" s="36" t="s">
        <v>258</v>
      </c>
    </row>
    <row r="96" spans="1:4">
      <c r="A96" s="34" t="s">
        <v>81</v>
      </c>
      <c r="B96" s="35" t="s">
        <v>236</v>
      </c>
      <c r="C96" s="36" t="s">
        <v>121</v>
      </c>
      <c r="D96" s="36" t="s">
        <v>259</v>
      </c>
    </row>
    <row r="97" spans="1:4">
      <c r="A97" s="34" t="s">
        <v>196</v>
      </c>
      <c r="B97" s="35" t="s">
        <v>210</v>
      </c>
      <c r="C97" s="36" t="s">
        <v>72</v>
      </c>
      <c r="D97" s="36" t="s">
        <v>72</v>
      </c>
    </row>
    <row r="98" spans="1:4">
      <c r="A98" s="34" t="s">
        <v>196</v>
      </c>
      <c r="B98" s="35" t="s">
        <v>213</v>
      </c>
      <c r="C98" s="36" t="s">
        <v>72</v>
      </c>
      <c r="D98" s="36" t="s">
        <v>72</v>
      </c>
    </row>
    <row r="99" spans="1:4">
      <c r="A99" s="34" t="s">
        <v>196</v>
      </c>
      <c r="B99" s="35" t="s">
        <v>214</v>
      </c>
      <c r="C99" s="36" t="s">
        <v>72</v>
      </c>
      <c r="D99" s="36" t="s">
        <v>72</v>
      </c>
    </row>
    <row r="100" spans="1:4">
      <c r="A100" s="34" t="s">
        <v>196</v>
      </c>
      <c r="B100" s="35" t="s">
        <v>217</v>
      </c>
      <c r="C100" s="36" t="s">
        <v>72</v>
      </c>
      <c r="D100" s="36" t="s">
        <v>72</v>
      </c>
    </row>
    <row r="101" spans="1:4">
      <c r="A101" s="34" t="s">
        <v>196</v>
      </c>
      <c r="B101" s="35" t="s">
        <v>219</v>
      </c>
      <c r="C101" s="36" t="s">
        <v>72</v>
      </c>
      <c r="D101" s="36" t="s">
        <v>72</v>
      </c>
    </row>
    <row r="102" spans="1:4">
      <c r="A102" s="34" t="s">
        <v>196</v>
      </c>
      <c r="B102" s="35" t="s">
        <v>220</v>
      </c>
      <c r="C102" s="36" t="s">
        <v>72</v>
      </c>
      <c r="D102" s="36" t="s">
        <v>72</v>
      </c>
    </row>
    <row r="103" spans="1:4">
      <c r="A103" s="34" t="s">
        <v>196</v>
      </c>
      <c r="B103" s="35" t="s">
        <v>221</v>
      </c>
      <c r="C103" s="36" t="s">
        <v>72</v>
      </c>
      <c r="D103" s="36" t="s">
        <v>72</v>
      </c>
    </row>
    <row r="104" spans="1:4">
      <c r="A104" s="34" t="s">
        <v>196</v>
      </c>
      <c r="B104" s="35" t="s">
        <v>222</v>
      </c>
      <c r="C104" s="36" t="s">
        <v>72</v>
      </c>
      <c r="D104" s="36" t="s">
        <v>72</v>
      </c>
    </row>
    <row r="105" spans="1:4">
      <c r="A105" s="34" t="s">
        <v>196</v>
      </c>
      <c r="B105" s="35" t="s">
        <v>223</v>
      </c>
      <c r="C105" s="36" t="s">
        <v>72</v>
      </c>
      <c r="D105" s="36" t="s">
        <v>72</v>
      </c>
    </row>
    <row r="106" spans="1:4">
      <c r="A106" s="34" t="s">
        <v>196</v>
      </c>
      <c r="B106" s="35" t="s">
        <v>225</v>
      </c>
      <c r="C106" s="36" t="s">
        <v>72</v>
      </c>
      <c r="D106" s="36" t="s">
        <v>72</v>
      </c>
    </row>
    <row r="107" spans="1:4">
      <c r="A107" s="34" t="s">
        <v>196</v>
      </c>
      <c r="B107" s="35" t="s">
        <v>227</v>
      </c>
      <c r="C107" s="36" t="s">
        <v>72</v>
      </c>
      <c r="D107" s="36" t="s">
        <v>72</v>
      </c>
    </row>
    <row r="108" spans="1:4">
      <c r="A108" s="34" t="s">
        <v>196</v>
      </c>
      <c r="B108" s="35" t="s">
        <v>228</v>
      </c>
      <c r="C108" s="36" t="s">
        <v>260</v>
      </c>
      <c r="D108" s="36" t="s">
        <v>261</v>
      </c>
    </row>
    <row r="109" spans="1:4">
      <c r="A109" s="34" t="s">
        <v>196</v>
      </c>
      <c r="B109" s="35" t="s">
        <v>230</v>
      </c>
      <c r="C109" s="36" t="s">
        <v>166</v>
      </c>
      <c r="D109" s="36" t="s">
        <v>202</v>
      </c>
    </row>
    <row r="110" spans="1:4">
      <c r="A110" s="34" t="s">
        <v>196</v>
      </c>
      <c r="B110" s="35" t="s">
        <v>232</v>
      </c>
      <c r="C110" s="36" t="s">
        <v>72</v>
      </c>
      <c r="D110" s="36" t="s">
        <v>72</v>
      </c>
    </row>
    <row r="111" spans="1:4">
      <c r="A111" s="34" t="s">
        <v>196</v>
      </c>
      <c r="B111" s="35" t="s">
        <v>235</v>
      </c>
      <c r="C111" s="36" t="s">
        <v>72</v>
      </c>
      <c r="D111" s="36" t="s">
        <v>72</v>
      </c>
    </row>
    <row r="112" spans="1:4">
      <c r="A112" s="34" t="s">
        <v>196</v>
      </c>
      <c r="B112" s="35" t="s">
        <v>236</v>
      </c>
      <c r="C112" s="36" t="s">
        <v>72</v>
      </c>
      <c r="D112" s="36" t="s">
        <v>72</v>
      </c>
    </row>
    <row r="113" spans="1:4">
      <c r="A113" s="34" t="s">
        <v>197</v>
      </c>
      <c r="B113" s="35" t="s">
        <v>210</v>
      </c>
      <c r="C113" s="36" t="s">
        <v>67</v>
      </c>
      <c r="D113" s="36" t="s">
        <v>212</v>
      </c>
    </row>
    <row r="114" spans="1:4">
      <c r="A114" s="34" t="s">
        <v>197</v>
      </c>
      <c r="B114" s="35" t="s">
        <v>213</v>
      </c>
      <c r="C114" s="36" t="s">
        <v>64</v>
      </c>
      <c r="D114" s="36" t="s">
        <v>240</v>
      </c>
    </row>
    <row r="115" spans="1:4">
      <c r="A115" s="34" t="s">
        <v>197</v>
      </c>
      <c r="B115" s="35" t="s">
        <v>214</v>
      </c>
      <c r="C115" s="36" t="s">
        <v>262</v>
      </c>
      <c r="D115" s="36" t="s">
        <v>263</v>
      </c>
    </row>
    <row r="116" spans="1:4">
      <c r="A116" s="34" t="s">
        <v>197</v>
      </c>
      <c r="B116" s="35" t="s">
        <v>217</v>
      </c>
      <c r="C116" s="36" t="s">
        <v>255</v>
      </c>
      <c r="D116" s="36" t="s">
        <v>250</v>
      </c>
    </row>
    <row r="117" spans="1:4">
      <c r="A117" s="34" t="s">
        <v>197</v>
      </c>
      <c r="B117" s="35" t="s">
        <v>219</v>
      </c>
      <c r="C117" s="36" t="s">
        <v>62</v>
      </c>
      <c r="D117" s="36" t="s">
        <v>177</v>
      </c>
    </row>
    <row r="118" spans="1:4">
      <c r="A118" s="34" t="s">
        <v>197</v>
      </c>
      <c r="B118" s="35" t="s">
        <v>220</v>
      </c>
      <c r="C118" s="36" t="s">
        <v>264</v>
      </c>
      <c r="D118" s="36" t="s">
        <v>54</v>
      </c>
    </row>
    <row r="119" spans="1:4">
      <c r="A119" s="34" t="s">
        <v>197</v>
      </c>
      <c r="B119" s="35" t="s">
        <v>221</v>
      </c>
      <c r="C119" s="36" t="s">
        <v>72</v>
      </c>
      <c r="D119" s="36" t="s">
        <v>72</v>
      </c>
    </row>
    <row r="120" spans="1:4">
      <c r="A120" s="34" t="s">
        <v>197</v>
      </c>
      <c r="B120" s="35" t="s">
        <v>222</v>
      </c>
      <c r="C120" s="36" t="s">
        <v>121</v>
      </c>
      <c r="D120" s="36" t="s">
        <v>191</v>
      </c>
    </row>
    <row r="121" spans="1:4">
      <c r="A121" s="34" t="s">
        <v>197</v>
      </c>
      <c r="B121" s="35" t="s">
        <v>223</v>
      </c>
      <c r="C121" s="36" t="s">
        <v>149</v>
      </c>
      <c r="D121" s="36" t="s">
        <v>265</v>
      </c>
    </row>
    <row r="122" spans="1:4">
      <c r="A122" s="34" t="s">
        <v>197</v>
      </c>
      <c r="B122" s="35" t="s">
        <v>225</v>
      </c>
      <c r="C122" s="36" t="s">
        <v>72</v>
      </c>
      <c r="D122" s="36" t="s">
        <v>72</v>
      </c>
    </row>
    <row r="123" spans="1:4">
      <c r="A123" s="34" t="s">
        <v>197</v>
      </c>
      <c r="B123" s="35" t="s">
        <v>227</v>
      </c>
      <c r="C123" s="36" t="s">
        <v>64</v>
      </c>
      <c r="D123" s="36" t="s">
        <v>240</v>
      </c>
    </row>
    <row r="124" spans="1:4">
      <c r="A124" s="34" t="s">
        <v>197</v>
      </c>
      <c r="B124" s="35" t="s">
        <v>228</v>
      </c>
      <c r="C124" s="36" t="s">
        <v>64</v>
      </c>
      <c r="D124" s="36" t="s">
        <v>229</v>
      </c>
    </row>
    <row r="125" spans="1:4">
      <c r="A125" s="34" t="s">
        <v>197</v>
      </c>
      <c r="B125" s="35" t="s">
        <v>230</v>
      </c>
      <c r="C125" s="36" t="s">
        <v>164</v>
      </c>
      <c r="D125" s="36" t="s">
        <v>226</v>
      </c>
    </row>
    <row r="126" spans="1:4">
      <c r="A126" s="34" t="s">
        <v>197</v>
      </c>
      <c r="B126" s="35" t="s">
        <v>232</v>
      </c>
      <c r="C126" s="36" t="s">
        <v>266</v>
      </c>
      <c r="D126" s="36" t="s">
        <v>226</v>
      </c>
    </row>
    <row r="127" spans="1:4">
      <c r="A127" s="34" t="s">
        <v>197</v>
      </c>
      <c r="B127" s="35" t="s">
        <v>235</v>
      </c>
      <c r="C127" s="36" t="s">
        <v>266</v>
      </c>
      <c r="D127" s="36" t="s">
        <v>253</v>
      </c>
    </row>
    <row r="128" spans="1:4">
      <c r="A128" s="34" t="s">
        <v>197</v>
      </c>
      <c r="B128" s="35" t="s">
        <v>236</v>
      </c>
      <c r="C128" s="36" t="s">
        <v>129</v>
      </c>
      <c r="D128" s="36" t="s">
        <v>267</v>
      </c>
    </row>
    <row r="129" spans="1:4">
      <c r="A129" s="34" t="s">
        <v>198</v>
      </c>
      <c r="B129" s="35" t="s">
        <v>210</v>
      </c>
      <c r="C129" s="36" t="s">
        <v>72</v>
      </c>
      <c r="D129" s="36" t="s">
        <v>268</v>
      </c>
    </row>
    <row r="130" spans="1:4">
      <c r="A130" s="34" t="s">
        <v>198</v>
      </c>
      <c r="B130" s="35" t="s">
        <v>213</v>
      </c>
      <c r="C130" s="36" t="s">
        <v>72</v>
      </c>
      <c r="D130" s="36" t="s">
        <v>72</v>
      </c>
    </row>
    <row r="131" spans="1:4">
      <c r="A131" s="34" t="s">
        <v>198</v>
      </c>
      <c r="B131" s="35" t="s">
        <v>214</v>
      </c>
      <c r="C131" s="36" t="s">
        <v>72</v>
      </c>
      <c r="D131" s="36" t="s">
        <v>72</v>
      </c>
    </row>
    <row r="132" spans="1:4">
      <c r="A132" s="34" t="s">
        <v>198</v>
      </c>
      <c r="B132" s="35" t="s">
        <v>217</v>
      </c>
      <c r="C132" s="36" t="s">
        <v>72</v>
      </c>
      <c r="D132" s="36" t="s">
        <v>72</v>
      </c>
    </row>
    <row r="133" spans="1:4">
      <c r="A133" s="34" t="s">
        <v>198</v>
      </c>
      <c r="B133" s="35" t="s">
        <v>219</v>
      </c>
      <c r="C133" s="36" t="s">
        <v>72</v>
      </c>
      <c r="D133" s="36" t="s">
        <v>72</v>
      </c>
    </row>
    <row r="134" spans="1:4">
      <c r="A134" s="34" t="s">
        <v>198</v>
      </c>
      <c r="B134" s="35" t="s">
        <v>220</v>
      </c>
      <c r="C134" s="36" t="s">
        <v>72</v>
      </c>
      <c r="D134" s="36" t="s">
        <v>72</v>
      </c>
    </row>
    <row r="135" spans="1:4">
      <c r="A135" s="34" t="s">
        <v>198</v>
      </c>
      <c r="B135" s="35" t="s">
        <v>221</v>
      </c>
      <c r="C135" s="36" t="s">
        <v>72</v>
      </c>
      <c r="D135" s="36" t="s">
        <v>72</v>
      </c>
    </row>
    <row r="136" spans="1:4">
      <c r="A136" s="34" t="s">
        <v>198</v>
      </c>
      <c r="B136" s="35" t="s">
        <v>222</v>
      </c>
      <c r="C136" s="36" t="s">
        <v>72</v>
      </c>
      <c r="D136" s="36" t="s">
        <v>72</v>
      </c>
    </row>
    <row r="137" spans="1:4">
      <c r="A137" s="34" t="s">
        <v>198</v>
      </c>
      <c r="B137" s="35" t="s">
        <v>223</v>
      </c>
      <c r="C137" s="36" t="s">
        <v>72</v>
      </c>
      <c r="D137" s="36" t="s">
        <v>72</v>
      </c>
    </row>
    <row r="138" spans="1:4">
      <c r="A138" s="34" t="s">
        <v>198</v>
      </c>
      <c r="B138" s="35" t="s">
        <v>225</v>
      </c>
      <c r="C138" s="36" t="s">
        <v>72</v>
      </c>
      <c r="D138" s="36" t="s">
        <v>72</v>
      </c>
    </row>
    <row r="139" spans="1:4">
      <c r="A139" s="34" t="s">
        <v>198</v>
      </c>
      <c r="B139" s="35" t="s">
        <v>227</v>
      </c>
      <c r="C139" s="36" t="s">
        <v>72</v>
      </c>
      <c r="D139" s="36" t="s">
        <v>72</v>
      </c>
    </row>
    <row r="140" spans="1:4">
      <c r="A140" s="34" t="s">
        <v>198</v>
      </c>
      <c r="B140" s="35" t="s">
        <v>228</v>
      </c>
      <c r="C140" s="36" t="s">
        <v>72</v>
      </c>
      <c r="D140" s="36" t="s">
        <v>72</v>
      </c>
    </row>
    <row r="141" spans="1:4">
      <c r="A141" s="34" t="s">
        <v>198</v>
      </c>
      <c r="B141" s="35" t="s">
        <v>230</v>
      </c>
      <c r="C141" s="36" t="s">
        <v>72</v>
      </c>
      <c r="D141" s="36" t="s">
        <v>72</v>
      </c>
    </row>
    <row r="142" spans="1:4">
      <c r="A142" s="34" t="s">
        <v>198</v>
      </c>
      <c r="B142" s="35" t="s">
        <v>232</v>
      </c>
      <c r="C142" s="36" t="s">
        <v>72</v>
      </c>
      <c r="D142" s="36" t="s">
        <v>72</v>
      </c>
    </row>
    <row r="143" spans="1:4">
      <c r="A143" s="34" t="s">
        <v>198</v>
      </c>
      <c r="B143" s="35" t="s">
        <v>235</v>
      </c>
      <c r="C143" s="36" t="s">
        <v>72</v>
      </c>
      <c r="D143" s="36" t="s">
        <v>72</v>
      </c>
    </row>
    <row r="144" spans="1:4">
      <c r="A144" s="34" t="s">
        <v>198</v>
      </c>
      <c r="B144" s="35" t="s">
        <v>236</v>
      </c>
      <c r="C144" s="36" t="s">
        <v>72</v>
      </c>
      <c r="D144" s="36" t="s">
        <v>72</v>
      </c>
    </row>
    <row r="145" spans="1:4">
      <c r="A145" s="34" t="s">
        <v>269</v>
      </c>
      <c r="B145" s="35" t="s">
        <v>210</v>
      </c>
      <c r="C145" s="36" t="s">
        <v>72</v>
      </c>
      <c r="D145" s="36" t="s">
        <v>72</v>
      </c>
    </row>
    <row r="146" spans="1:4">
      <c r="A146" s="34" t="s">
        <v>269</v>
      </c>
      <c r="B146" s="35" t="s">
        <v>213</v>
      </c>
      <c r="C146" s="36" t="s">
        <v>72</v>
      </c>
      <c r="D146" s="36" t="s">
        <v>72</v>
      </c>
    </row>
    <row r="147" spans="1:4">
      <c r="A147" s="34" t="s">
        <v>269</v>
      </c>
      <c r="B147" s="35" t="s">
        <v>214</v>
      </c>
      <c r="C147" s="36" t="s">
        <v>72</v>
      </c>
      <c r="D147" s="36" t="s">
        <v>72</v>
      </c>
    </row>
    <row r="148" spans="1:4">
      <c r="A148" s="34" t="s">
        <v>269</v>
      </c>
      <c r="B148" s="35" t="s">
        <v>217</v>
      </c>
      <c r="C148" s="36" t="s">
        <v>70</v>
      </c>
      <c r="D148" s="36" t="s">
        <v>270</v>
      </c>
    </row>
    <row r="149" spans="1:4">
      <c r="A149" s="34" t="s">
        <v>269</v>
      </c>
      <c r="B149" s="35" t="s">
        <v>219</v>
      </c>
      <c r="C149" s="36" t="s">
        <v>271</v>
      </c>
      <c r="D149" s="36" t="s">
        <v>177</v>
      </c>
    </row>
    <row r="150" spans="1:4">
      <c r="A150" s="34" t="s">
        <v>269</v>
      </c>
      <c r="B150" s="35" t="s">
        <v>220</v>
      </c>
      <c r="C150" s="36" t="s">
        <v>175</v>
      </c>
      <c r="D150" s="36" t="s">
        <v>272</v>
      </c>
    </row>
    <row r="151" spans="1:4">
      <c r="A151" s="34" t="s">
        <v>269</v>
      </c>
      <c r="B151" s="35" t="s">
        <v>221</v>
      </c>
      <c r="C151" s="36" t="s">
        <v>72</v>
      </c>
      <c r="D151" s="36" t="s">
        <v>72</v>
      </c>
    </row>
    <row r="152" spans="1:4">
      <c r="A152" s="34" t="s">
        <v>269</v>
      </c>
      <c r="B152" s="35" t="s">
        <v>222</v>
      </c>
      <c r="C152" s="36" t="s">
        <v>148</v>
      </c>
      <c r="D152" s="36" t="s">
        <v>170</v>
      </c>
    </row>
    <row r="153" spans="1:4">
      <c r="A153" s="34" t="s">
        <v>269</v>
      </c>
      <c r="B153" s="35" t="s">
        <v>223</v>
      </c>
      <c r="C153" s="36" t="s">
        <v>161</v>
      </c>
      <c r="D153" s="36" t="s">
        <v>273</v>
      </c>
    </row>
    <row r="154" spans="1:4">
      <c r="A154" s="34" t="s">
        <v>269</v>
      </c>
      <c r="B154" s="35" t="s">
        <v>225</v>
      </c>
      <c r="C154" s="36" t="s">
        <v>78</v>
      </c>
      <c r="D154" s="36" t="s">
        <v>168</v>
      </c>
    </row>
    <row r="155" spans="1:4">
      <c r="A155" s="34" t="s">
        <v>269</v>
      </c>
      <c r="B155" s="35" t="s">
        <v>227</v>
      </c>
      <c r="C155" s="36" t="s">
        <v>72</v>
      </c>
      <c r="D155" s="36" t="s">
        <v>72</v>
      </c>
    </row>
    <row r="156" spans="1:4">
      <c r="A156" s="34" t="s">
        <v>269</v>
      </c>
      <c r="B156" s="35" t="s">
        <v>228</v>
      </c>
      <c r="C156" s="36" t="s">
        <v>274</v>
      </c>
      <c r="D156" s="36" t="s">
        <v>226</v>
      </c>
    </row>
    <row r="157" spans="1:4">
      <c r="A157" s="34" t="s">
        <v>269</v>
      </c>
      <c r="B157" s="35" t="s">
        <v>230</v>
      </c>
      <c r="C157" s="36" t="s">
        <v>127</v>
      </c>
      <c r="D157" s="36" t="s">
        <v>242</v>
      </c>
    </row>
    <row r="158" spans="1:4">
      <c r="A158" s="34" t="s">
        <v>269</v>
      </c>
      <c r="B158" s="35" t="s">
        <v>232</v>
      </c>
      <c r="C158" s="36" t="s">
        <v>275</v>
      </c>
      <c r="D158" s="36" t="s">
        <v>54</v>
      </c>
    </row>
    <row r="159" spans="1:4">
      <c r="A159" s="34" t="s">
        <v>269</v>
      </c>
      <c r="B159" s="35" t="s">
        <v>235</v>
      </c>
      <c r="C159" s="36" t="s">
        <v>126</v>
      </c>
      <c r="D159" s="36" t="s">
        <v>263</v>
      </c>
    </row>
    <row r="160" spans="1:4">
      <c r="A160" s="34" t="s">
        <v>269</v>
      </c>
      <c r="B160" s="35" t="s">
        <v>236</v>
      </c>
      <c r="C160" s="36" t="s">
        <v>72</v>
      </c>
      <c r="D160" s="36" t="s">
        <v>193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8"/>
  <sheetViews>
    <sheetView workbookViewId="0">
      <selection activeCell="B37" sqref="B37"/>
    </sheetView>
  </sheetViews>
  <sheetFormatPr defaultColWidth="13.6640625" defaultRowHeight="14.4"/>
  <cols>
    <col min="1" max="1" width="15.88671875" customWidth="1"/>
    <col min="2" max="2" width="20.21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100</v>
      </c>
      <c r="B2" s="2" t="s">
        <v>19</v>
      </c>
      <c r="C2" s="35" t="s">
        <v>210</v>
      </c>
      <c r="D2" s="36" t="s">
        <v>277</v>
      </c>
      <c r="E2" s="36" t="s">
        <v>168</v>
      </c>
      <c r="F2">
        <v>37.5</v>
      </c>
      <c r="G2">
        <f t="shared" ref="G2:G8" si="0">(E2-D2)*24</f>
        <v>11.666666666666666</v>
      </c>
      <c r="H2">
        <f>MIN(G2,8)</f>
        <v>8</v>
      </c>
      <c r="I2" s="7">
        <f>IF(MAX(G2-8,0) - 1 &lt; 0, 0, MAX(G2-8,0) - 1)</f>
        <v>2.6666666666666661</v>
      </c>
      <c r="J2">
        <f t="shared" ref="J2:J8" si="1">H2*F2</f>
        <v>300</v>
      </c>
      <c r="K2">
        <f t="shared" ref="K2:K8" si="2">I2*F2*1.2</f>
        <v>119.99999999999996</v>
      </c>
      <c r="L2">
        <f t="shared" ref="L2:L8" si="3">J2+K2</f>
        <v>419.99999999999994</v>
      </c>
    </row>
    <row r="3" spans="1:12">
      <c r="A3" t="s">
        <v>100</v>
      </c>
      <c r="B3" s="2" t="s">
        <v>19</v>
      </c>
      <c r="C3" s="35" t="s">
        <v>213</v>
      </c>
      <c r="D3" s="36" t="s">
        <v>62</v>
      </c>
      <c r="E3" s="36" t="s">
        <v>57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>
        <f t="shared" si="1"/>
        <v>300</v>
      </c>
      <c r="K3">
        <f t="shared" si="2"/>
        <v>135</v>
      </c>
      <c r="L3">
        <f t="shared" si="3"/>
        <v>435</v>
      </c>
    </row>
    <row r="4" spans="1:12">
      <c r="A4" t="s">
        <v>100</v>
      </c>
      <c r="B4" s="2" t="s">
        <v>19</v>
      </c>
      <c r="C4" s="35" t="s">
        <v>214</v>
      </c>
      <c r="D4" s="36" t="s">
        <v>62</v>
      </c>
      <c r="E4" s="36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300</v>
      </c>
      <c r="K4">
        <f t="shared" si="2"/>
        <v>135</v>
      </c>
      <c r="L4">
        <f t="shared" si="3"/>
        <v>435</v>
      </c>
    </row>
    <row r="5" spans="1:12">
      <c r="A5" t="s">
        <v>100</v>
      </c>
      <c r="B5" s="2" t="s">
        <v>19</v>
      </c>
      <c r="C5" s="35" t="s">
        <v>217</v>
      </c>
      <c r="D5" s="36" t="s">
        <v>62</v>
      </c>
      <c r="E5" s="36" t="s">
        <v>54</v>
      </c>
      <c r="F5">
        <v>37.5</v>
      </c>
      <c r="G5">
        <f t="shared" si="0"/>
        <v>12.5</v>
      </c>
      <c r="H5">
        <f t="shared" si="4"/>
        <v>8</v>
      </c>
      <c r="I5" s="7">
        <f t="shared" si="5"/>
        <v>3.5</v>
      </c>
      <c r="J5">
        <f t="shared" si="1"/>
        <v>300</v>
      </c>
      <c r="K5">
        <f t="shared" si="2"/>
        <v>157.5</v>
      </c>
      <c r="L5">
        <f t="shared" si="3"/>
        <v>457.5</v>
      </c>
    </row>
    <row r="6" spans="1:12">
      <c r="A6" t="s">
        <v>100</v>
      </c>
      <c r="B6" s="2" t="s">
        <v>19</v>
      </c>
      <c r="C6" s="35" t="s">
        <v>219</v>
      </c>
      <c r="D6" s="36" t="s">
        <v>62</v>
      </c>
      <c r="E6" s="36" t="s">
        <v>168</v>
      </c>
      <c r="F6">
        <v>37.5</v>
      </c>
      <c r="G6">
        <f t="shared" si="0"/>
        <v>12.166666666666666</v>
      </c>
      <c r="H6">
        <f t="shared" si="4"/>
        <v>8</v>
      </c>
      <c r="I6" s="7">
        <f t="shared" si="5"/>
        <v>3.1666666666666661</v>
      </c>
      <c r="J6">
        <f t="shared" si="1"/>
        <v>300</v>
      </c>
      <c r="K6">
        <f t="shared" si="2"/>
        <v>142.49999999999997</v>
      </c>
      <c r="L6">
        <f t="shared" si="3"/>
        <v>442.5</v>
      </c>
    </row>
    <row r="7" spans="1:12">
      <c r="A7" t="s">
        <v>100</v>
      </c>
      <c r="B7" s="2" t="s">
        <v>19</v>
      </c>
      <c r="C7" s="35" t="s">
        <v>220</v>
      </c>
      <c r="D7" s="36" t="s">
        <v>62</v>
      </c>
      <c r="E7" s="36" t="s">
        <v>57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300</v>
      </c>
      <c r="K7">
        <f t="shared" si="2"/>
        <v>135</v>
      </c>
      <c r="L7">
        <f t="shared" si="3"/>
        <v>435</v>
      </c>
    </row>
    <row r="8" spans="1:12">
      <c r="A8" t="s">
        <v>100</v>
      </c>
      <c r="B8" s="2" t="s">
        <v>19</v>
      </c>
      <c r="C8" s="35" t="s">
        <v>221</v>
      </c>
      <c r="D8" s="36" t="s">
        <v>31</v>
      </c>
      <c r="E8" s="36" t="s">
        <v>31</v>
      </c>
      <c r="F8">
        <v>37.5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100</v>
      </c>
      <c r="B9" s="2" t="s">
        <v>19</v>
      </c>
      <c r="C9" s="35" t="s">
        <v>222</v>
      </c>
      <c r="D9" s="36" t="s">
        <v>62</v>
      </c>
      <c r="E9" s="36" t="s">
        <v>57</v>
      </c>
      <c r="F9">
        <v>37.5</v>
      </c>
      <c r="G9">
        <f t="shared" ref="G9:G16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6" si="7">H9*F9</f>
        <v>300</v>
      </c>
      <c r="K9">
        <f t="shared" ref="K9:K16" si="8">I9*F9*1.2</f>
        <v>135</v>
      </c>
      <c r="L9">
        <f t="shared" ref="L9:L16" si="9">J9+K9</f>
        <v>435</v>
      </c>
    </row>
    <row r="10" spans="1:12">
      <c r="A10" t="s">
        <v>100</v>
      </c>
      <c r="B10" s="2" t="s">
        <v>19</v>
      </c>
      <c r="C10" s="35" t="s">
        <v>223</v>
      </c>
      <c r="D10" s="36" t="s">
        <v>62</v>
      </c>
      <c r="E10" s="36" t="s">
        <v>57</v>
      </c>
      <c r="F10">
        <v>37.5</v>
      </c>
      <c r="G10">
        <f t="shared" si="6"/>
        <v>12</v>
      </c>
      <c r="H10">
        <f t="shared" ref="H10:H16" si="10">MIN(G10,8)</f>
        <v>8</v>
      </c>
      <c r="I10" s="7">
        <f t="shared" ref="I10:I16" si="11">IF(MAX(G10-8,0) - 1 &lt; 0, 0, MAX(G10-8,0) - 1)</f>
        <v>3</v>
      </c>
      <c r="J10">
        <f t="shared" si="7"/>
        <v>300</v>
      </c>
      <c r="K10">
        <f t="shared" si="8"/>
        <v>135</v>
      </c>
      <c r="L10">
        <f t="shared" si="9"/>
        <v>435</v>
      </c>
    </row>
    <row r="11" spans="1:12">
      <c r="A11" t="s">
        <v>100</v>
      </c>
      <c r="B11" s="2" t="s">
        <v>19</v>
      </c>
      <c r="C11" s="35" t="s">
        <v>225</v>
      </c>
      <c r="D11" s="36" t="s">
        <v>62</v>
      </c>
      <c r="E11" s="36" t="s">
        <v>57</v>
      </c>
      <c r="F11">
        <v>37.5</v>
      </c>
      <c r="G11">
        <f t="shared" si="6"/>
        <v>12</v>
      </c>
      <c r="H11">
        <f t="shared" si="10"/>
        <v>8</v>
      </c>
      <c r="I11" s="7">
        <f t="shared" si="11"/>
        <v>3</v>
      </c>
      <c r="J11">
        <f t="shared" si="7"/>
        <v>300</v>
      </c>
      <c r="K11">
        <f t="shared" si="8"/>
        <v>135</v>
      </c>
      <c r="L11">
        <f t="shared" si="9"/>
        <v>435</v>
      </c>
    </row>
    <row r="12" spans="1:12">
      <c r="A12" t="s">
        <v>100</v>
      </c>
      <c r="B12" s="2" t="s">
        <v>19</v>
      </c>
      <c r="C12" s="35" t="s">
        <v>227</v>
      </c>
      <c r="D12" s="36" t="s">
        <v>62</v>
      </c>
      <c r="E12" s="36" t="s">
        <v>57</v>
      </c>
      <c r="F12">
        <v>37.5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300</v>
      </c>
      <c r="K12">
        <f t="shared" si="8"/>
        <v>135</v>
      </c>
      <c r="L12">
        <f t="shared" si="9"/>
        <v>435</v>
      </c>
    </row>
    <row r="13" spans="1:12">
      <c r="A13" t="s">
        <v>100</v>
      </c>
      <c r="B13" s="2" t="s">
        <v>19</v>
      </c>
      <c r="C13" s="35" t="s">
        <v>228</v>
      </c>
      <c r="D13" s="36" t="s">
        <v>62</v>
      </c>
      <c r="E13" s="36" t="s">
        <v>57</v>
      </c>
      <c r="F13">
        <v>37.5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300</v>
      </c>
      <c r="K13">
        <f t="shared" si="8"/>
        <v>135</v>
      </c>
      <c r="L13">
        <f t="shared" si="9"/>
        <v>435</v>
      </c>
    </row>
    <row r="14" spans="1:12">
      <c r="A14" t="s">
        <v>100</v>
      </c>
      <c r="B14" s="2" t="s">
        <v>19</v>
      </c>
      <c r="C14" s="35" t="s">
        <v>230</v>
      </c>
      <c r="D14" s="36" t="s">
        <v>62</v>
      </c>
      <c r="E14" s="36" t="s">
        <v>57</v>
      </c>
      <c r="F14">
        <v>37.5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300</v>
      </c>
      <c r="K14">
        <f t="shared" si="8"/>
        <v>135</v>
      </c>
      <c r="L14">
        <f t="shared" si="9"/>
        <v>435</v>
      </c>
    </row>
    <row r="15" spans="1:12">
      <c r="A15" t="s">
        <v>100</v>
      </c>
      <c r="B15" s="2" t="s">
        <v>19</v>
      </c>
      <c r="C15" s="35" t="s">
        <v>232</v>
      </c>
      <c r="D15" s="36" t="s">
        <v>62</v>
      </c>
      <c r="E15" s="36" t="s">
        <v>57</v>
      </c>
      <c r="F15">
        <v>37.5</v>
      </c>
      <c r="G15">
        <f t="shared" si="6"/>
        <v>12</v>
      </c>
      <c r="H15">
        <f t="shared" si="10"/>
        <v>8</v>
      </c>
      <c r="I15" s="7">
        <f t="shared" si="11"/>
        <v>3</v>
      </c>
      <c r="J15">
        <f t="shared" si="7"/>
        <v>300</v>
      </c>
      <c r="K15">
        <f t="shared" si="8"/>
        <v>135</v>
      </c>
      <c r="L15">
        <f t="shared" si="9"/>
        <v>435</v>
      </c>
    </row>
    <row r="16" spans="1:12">
      <c r="A16" t="s">
        <v>100</v>
      </c>
      <c r="B16" s="2" t="s">
        <v>19</v>
      </c>
      <c r="C16" s="35" t="s">
        <v>235</v>
      </c>
      <c r="D16" s="36" t="s">
        <v>31</v>
      </c>
      <c r="E16" s="36" t="s">
        <v>31</v>
      </c>
      <c r="F16">
        <v>37.5</v>
      </c>
      <c r="G16">
        <f t="shared" si="6"/>
        <v>0</v>
      </c>
      <c r="H16">
        <f t="shared" si="10"/>
        <v>0</v>
      </c>
      <c r="I16" s="7">
        <f t="shared" si="11"/>
        <v>0</v>
      </c>
      <c r="J16">
        <f t="shared" si="7"/>
        <v>0</v>
      </c>
      <c r="K16">
        <f t="shared" si="8"/>
        <v>0</v>
      </c>
      <c r="L16">
        <f t="shared" si="9"/>
        <v>0</v>
      </c>
    </row>
    <row r="17" spans="1:12">
      <c r="A17" t="s">
        <v>100</v>
      </c>
      <c r="B17" s="2" t="s">
        <v>19</v>
      </c>
      <c r="C17" s="35" t="s">
        <v>236</v>
      </c>
      <c r="D17" s="36" t="s">
        <v>62</v>
      </c>
      <c r="E17" s="36" t="s">
        <v>169</v>
      </c>
      <c r="F17">
        <v>37.5</v>
      </c>
      <c r="G17">
        <f t="shared" ref="G17" si="12">(E17-D17)*24</f>
        <v>12.333333333333332</v>
      </c>
      <c r="H17">
        <f t="shared" ref="H17" si="13">MIN(G17,8)</f>
        <v>8</v>
      </c>
      <c r="I17" s="7">
        <f t="shared" ref="I17" si="14">IF(MAX(G17-8,0) - 1 &lt; 0, 0, MAX(G17-8,0) - 1)</f>
        <v>3.3333333333333321</v>
      </c>
      <c r="J17">
        <f t="shared" ref="J17" si="15">H17*F17</f>
        <v>300</v>
      </c>
      <c r="K17">
        <f t="shared" ref="K17" si="16">I17*F17*1.2</f>
        <v>149.99999999999994</v>
      </c>
      <c r="L17">
        <f t="shared" ref="L17" si="17">J17+K17</f>
        <v>449.99999999999994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100</v>
      </c>
      <c r="B23" s="8">
        <f>SUM(J2:J21)</f>
        <v>4200</v>
      </c>
      <c r="C23" s="8">
        <f>SUM(K2:K21)</f>
        <v>1920</v>
      </c>
      <c r="D23" s="8">
        <f>SUM(L2:L21)</f>
        <v>6120</v>
      </c>
    </row>
    <row r="30" spans="1:12" ht="21.6" customHeight="1"/>
    <row r="31" spans="1:12" ht="17.399999999999999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A2</f>
        <v>Micky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C16+5</f>
        <v>46238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COUNTIF(D2:D17, "*:*")</f>
        <v>14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4200</v>
      </c>
      <c r="C38" s="16"/>
    </row>
    <row r="39" spans="1:3">
      <c r="A39" s="10" t="s">
        <v>43</v>
      </c>
      <c r="B39" s="14">
        <v>500</v>
      </c>
      <c r="C39" s="16"/>
    </row>
    <row r="40" spans="1:3">
      <c r="A40" s="10" t="s">
        <v>6</v>
      </c>
      <c r="B40" s="14">
        <f>C23</f>
        <v>1920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SUM(B38:B43)</f>
        <v>6620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6620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3C6-1023-4F2C-BA26-84DC35EE09D0}">
  <dimension ref="A1:L45"/>
  <sheetViews>
    <sheetView workbookViewId="0">
      <selection activeCell="B33" sqref="B33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200</v>
      </c>
      <c r="B2" s="2" t="s">
        <v>19</v>
      </c>
      <c r="C2" s="35" t="s">
        <v>210</v>
      </c>
      <c r="D2" s="36" t="s">
        <v>203</v>
      </c>
      <c r="E2" s="36" t="s">
        <v>57</v>
      </c>
      <c r="F2">
        <v>31.25</v>
      </c>
      <c r="G2" s="31">
        <f t="shared" ref="G2:G16" si="0">(E2-D2)*24</f>
        <v>9</v>
      </c>
      <c r="H2">
        <f>MIN(G2,8)</f>
        <v>8</v>
      </c>
      <c r="I2" s="7">
        <f>IF(MAX(G2-8,0) - 1 &lt; 0, 0, MAX(G2-8,0) - 1)</f>
        <v>0</v>
      </c>
      <c r="J2" s="7">
        <f t="shared" ref="J2:J16" si="1">H2*F2</f>
        <v>250</v>
      </c>
      <c r="K2" s="7">
        <f t="shared" ref="K2:K16" si="2">I2*F2*1.2</f>
        <v>0</v>
      </c>
      <c r="L2" s="7">
        <f t="shared" ref="L2:L16" si="3">J2+K2</f>
        <v>250</v>
      </c>
    </row>
    <row r="3" spans="1:12">
      <c r="A3" t="s">
        <v>200</v>
      </c>
      <c r="B3" s="2" t="s">
        <v>19</v>
      </c>
      <c r="C3" s="35" t="s">
        <v>213</v>
      </c>
      <c r="D3" s="36" t="s">
        <v>203</v>
      </c>
      <c r="E3" s="36" t="s">
        <v>57</v>
      </c>
      <c r="F3">
        <v>31.25</v>
      </c>
      <c r="G3" s="31">
        <f t="shared" si="0"/>
        <v>9</v>
      </c>
      <c r="H3">
        <f t="shared" ref="H3:H8" si="4">MIN(G3,8)</f>
        <v>8</v>
      </c>
      <c r="I3" s="7">
        <f t="shared" ref="I3:I8" si="5">IF(MAX(G3-8,0) - 1 &lt; 0, 0, MAX(G3-8,0) - 1)</f>
        <v>0</v>
      </c>
      <c r="J3" s="7">
        <f t="shared" si="1"/>
        <v>250</v>
      </c>
      <c r="K3" s="7">
        <f t="shared" si="2"/>
        <v>0</v>
      </c>
      <c r="L3" s="7">
        <f t="shared" si="3"/>
        <v>250</v>
      </c>
    </row>
    <row r="4" spans="1:12">
      <c r="A4" t="s">
        <v>200</v>
      </c>
      <c r="B4" s="2" t="s">
        <v>19</v>
      </c>
      <c r="C4" s="35" t="s">
        <v>214</v>
      </c>
      <c r="D4" s="35" t="s">
        <v>30</v>
      </c>
      <c r="E4" s="36" t="s">
        <v>57</v>
      </c>
      <c r="F4">
        <v>31.25</v>
      </c>
      <c r="G4" s="31">
        <f t="shared" si="0"/>
        <v>12.499999999999998</v>
      </c>
      <c r="H4">
        <f t="shared" si="4"/>
        <v>8</v>
      </c>
      <c r="I4" s="7">
        <f t="shared" si="5"/>
        <v>3.4999999999999982</v>
      </c>
      <c r="J4" s="7">
        <f t="shared" si="1"/>
        <v>250</v>
      </c>
      <c r="K4" s="7">
        <f t="shared" si="2"/>
        <v>131.24999999999991</v>
      </c>
      <c r="L4" s="7">
        <f t="shared" si="3"/>
        <v>381.24999999999989</v>
      </c>
    </row>
    <row r="5" spans="1:12">
      <c r="A5" t="s">
        <v>200</v>
      </c>
      <c r="B5" s="2" t="s">
        <v>19</v>
      </c>
      <c r="C5" s="35" t="s">
        <v>217</v>
      </c>
      <c r="D5" s="36" t="s">
        <v>31</v>
      </c>
      <c r="E5" s="36" t="s">
        <v>31</v>
      </c>
      <c r="F5">
        <v>31.25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200</v>
      </c>
      <c r="B6" s="2" t="s">
        <v>19</v>
      </c>
      <c r="C6" s="35" t="s">
        <v>219</v>
      </c>
      <c r="D6" s="36" t="s">
        <v>31</v>
      </c>
      <c r="E6" s="36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200</v>
      </c>
      <c r="B7" s="2" t="s">
        <v>19</v>
      </c>
      <c r="C7" s="35" t="s">
        <v>220</v>
      </c>
      <c r="D7" s="36" t="s">
        <v>62</v>
      </c>
      <c r="E7" s="36" t="s">
        <v>202</v>
      </c>
      <c r="F7">
        <v>31.25</v>
      </c>
      <c r="G7" s="31">
        <f t="shared" si="0"/>
        <v>9</v>
      </c>
      <c r="H7">
        <f t="shared" si="4"/>
        <v>8</v>
      </c>
      <c r="I7" s="7">
        <f t="shared" si="5"/>
        <v>0</v>
      </c>
      <c r="J7" s="7">
        <f t="shared" si="1"/>
        <v>250</v>
      </c>
      <c r="K7" s="7">
        <f t="shared" si="2"/>
        <v>0</v>
      </c>
      <c r="L7" s="7">
        <f t="shared" si="3"/>
        <v>250</v>
      </c>
    </row>
    <row r="8" spans="1:12">
      <c r="A8" t="s">
        <v>200</v>
      </c>
      <c r="B8" s="2" t="s">
        <v>19</v>
      </c>
      <c r="C8" s="35" t="s">
        <v>221</v>
      </c>
      <c r="D8" s="36" t="s">
        <v>31</v>
      </c>
      <c r="E8" s="36" t="s">
        <v>31</v>
      </c>
      <c r="F8">
        <v>31.25</v>
      </c>
      <c r="G8" s="31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200</v>
      </c>
      <c r="B9" s="2" t="s">
        <v>19</v>
      </c>
      <c r="C9" s="35" t="s">
        <v>222</v>
      </c>
      <c r="D9" s="36" t="s">
        <v>203</v>
      </c>
      <c r="E9" s="36" t="s">
        <v>57</v>
      </c>
      <c r="F9">
        <v>31.25</v>
      </c>
      <c r="G9" s="31">
        <f t="shared" si="0"/>
        <v>9</v>
      </c>
      <c r="H9">
        <f>MIN(G9,8)</f>
        <v>8</v>
      </c>
      <c r="I9" s="7">
        <f>IF(MAX(G9-8,0) - 1 &lt; 0, 0, MAX(G9-8,0) - 1)</f>
        <v>0</v>
      </c>
      <c r="J9" s="7">
        <f t="shared" si="1"/>
        <v>250</v>
      </c>
      <c r="K9" s="7">
        <f t="shared" si="2"/>
        <v>0</v>
      </c>
      <c r="L9" s="7">
        <f t="shared" si="3"/>
        <v>250</v>
      </c>
    </row>
    <row r="10" spans="1:12">
      <c r="A10" t="s">
        <v>200</v>
      </c>
      <c r="B10" s="2" t="s">
        <v>19</v>
      </c>
      <c r="C10" s="35" t="s">
        <v>223</v>
      </c>
      <c r="D10" s="36" t="s">
        <v>62</v>
      </c>
      <c r="E10" s="36" t="s">
        <v>57</v>
      </c>
      <c r="F10">
        <v>31.25</v>
      </c>
      <c r="G10" s="31">
        <f t="shared" si="0"/>
        <v>12</v>
      </c>
      <c r="H10">
        <f t="shared" ref="H10:H16" si="6">MIN(G10,8)</f>
        <v>8</v>
      </c>
      <c r="I10" s="7">
        <f t="shared" ref="I10:I16" si="7">IF(MAX(G10-8,0) - 1 &lt; 0, 0, MAX(G10-8,0) - 1)</f>
        <v>3</v>
      </c>
      <c r="J10" s="7">
        <f t="shared" si="1"/>
        <v>250</v>
      </c>
      <c r="K10" s="7">
        <f t="shared" si="2"/>
        <v>112.5</v>
      </c>
      <c r="L10" s="7">
        <f t="shared" si="3"/>
        <v>362.5</v>
      </c>
    </row>
    <row r="11" spans="1:12">
      <c r="A11" t="s">
        <v>200</v>
      </c>
      <c r="B11" s="2" t="s">
        <v>19</v>
      </c>
      <c r="C11" s="35" t="s">
        <v>225</v>
      </c>
      <c r="D11" s="36" t="s">
        <v>62</v>
      </c>
      <c r="E11" s="36" t="s">
        <v>57</v>
      </c>
      <c r="F11">
        <v>31.25</v>
      </c>
      <c r="G11" s="31">
        <f t="shared" si="0"/>
        <v>12</v>
      </c>
      <c r="H11">
        <f t="shared" si="6"/>
        <v>8</v>
      </c>
      <c r="I11" s="7">
        <f t="shared" si="7"/>
        <v>3</v>
      </c>
      <c r="J11" s="7">
        <f t="shared" si="1"/>
        <v>250</v>
      </c>
      <c r="K11" s="7">
        <f t="shared" si="2"/>
        <v>112.5</v>
      </c>
      <c r="L11" s="7">
        <f t="shared" si="3"/>
        <v>362.5</v>
      </c>
    </row>
    <row r="12" spans="1:12">
      <c r="A12" t="s">
        <v>200</v>
      </c>
      <c r="B12" s="2" t="s">
        <v>19</v>
      </c>
      <c r="C12" s="35" t="s">
        <v>227</v>
      </c>
      <c r="D12" s="36" t="s">
        <v>65</v>
      </c>
      <c r="E12" s="36" t="s">
        <v>57</v>
      </c>
      <c r="F12">
        <v>31.25</v>
      </c>
      <c r="G12" s="31">
        <f t="shared" si="0"/>
        <v>5.0000000000000009</v>
      </c>
      <c r="H12">
        <f t="shared" si="6"/>
        <v>5.0000000000000009</v>
      </c>
      <c r="I12" s="7">
        <f t="shared" si="7"/>
        <v>0</v>
      </c>
      <c r="J12" s="7">
        <f t="shared" si="1"/>
        <v>156.25000000000003</v>
      </c>
      <c r="K12" s="7">
        <f t="shared" si="2"/>
        <v>0</v>
      </c>
      <c r="L12" s="7">
        <f t="shared" si="3"/>
        <v>156.25000000000003</v>
      </c>
    </row>
    <row r="13" spans="1:12">
      <c r="A13" t="s">
        <v>200</v>
      </c>
      <c r="B13" s="2" t="s">
        <v>19</v>
      </c>
      <c r="C13" s="35" t="s">
        <v>228</v>
      </c>
      <c r="D13" s="36" t="s">
        <v>62</v>
      </c>
      <c r="E13" s="36" t="s">
        <v>57</v>
      </c>
      <c r="F13">
        <v>31.25</v>
      </c>
      <c r="G13" s="31">
        <f t="shared" si="0"/>
        <v>12</v>
      </c>
      <c r="H13">
        <f t="shared" si="6"/>
        <v>8</v>
      </c>
      <c r="I13" s="7">
        <f t="shared" si="7"/>
        <v>3</v>
      </c>
      <c r="J13" s="7">
        <f t="shared" si="1"/>
        <v>250</v>
      </c>
      <c r="K13" s="7">
        <f t="shared" si="2"/>
        <v>112.5</v>
      </c>
      <c r="L13" s="7">
        <f t="shared" si="3"/>
        <v>362.5</v>
      </c>
    </row>
    <row r="14" spans="1:12">
      <c r="A14" t="s">
        <v>200</v>
      </c>
      <c r="B14" s="2" t="s">
        <v>19</v>
      </c>
      <c r="C14" s="35" t="s">
        <v>230</v>
      </c>
      <c r="D14" s="36" t="s">
        <v>62</v>
      </c>
      <c r="E14" s="36" t="s">
        <v>57</v>
      </c>
      <c r="F14">
        <v>31.25</v>
      </c>
      <c r="G14" s="31">
        <f t="shared" si="0"/>
        <v>12</v>
      </c>
      <c r="H14">
        <f t="shared" si="6"/>
        <v>8</v>
      </c>
      <c r="I14" s="7">
        <f t="shared" si="7"/>
        <v>3</v>
      </c>
      <c r="J14" s="7">
        <f t="shared" si="1"/>
        <v>250</v>
      </c>
      <c r="K14" s="7">
        <f t="shared" si="2"/>
        <v>112.5</v>
      </c>
      <c r="L14" s="7">
        <f t="shared" si="3"/>
        <v>362.5</v>
      </c>
    </row>
    <row r="15" spans="1:12">
      <c r="A15" t="s">
        <v>200</v>
      </c>
      <c r="B15" s="2" t="s">
        <v>19</v>
      </c>
      <c r="C15" s="35" t="s">
        <v>232</v>
      </c>
      <c r="D15" s="36" t="s">
        <v>62</v>
      </c>
      <c r="E15" s="36" t="s">
        <v>57</v>
      </c>
      <c r="F15">
        <v>31.25</v>
      </c>
      <c r="G15" s="31">
        <f t="shared" si="0"/>
        <v>12</v>
      </c>
      <c r="H15">
        <f t="shared" si="6"/>
        <v>8</v>
      </c>
      <c r="I15" s="7">
        <f t="shared" si="7"/>
        <v>3</v>
      </c>
      <c r="J15" s="7">
        <f t="shared" si="1"/>
        <v>250</v>
      </c>
      <c r="K15" s="7">
        <f t="shared" si="2"/>
        <v>112.5</v>
      </c>
      <c r="L15" s="7">
        <f t="shared" si="3"/>
        <v>362.5</v>
      </c>
    </row>
    <row r="16" spans="1:12">
      <c r="A16" t="s">
        <v>200</v>
      </c>
      <c r="B16" s="2" t="s">
        <v>19</v>
      </c>
      <c r="C16" s="35" t="s">
        <v>235</v>
      </c>
      <c r="D16" s="36" t="s">
        <v>31</v>
      </c>
      <c r="E16" s="36" t="s">
        <v>31</v>
      </c>
      <c r="F16">
        <v>31.25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200</v>
      </c>
      <c r="B17" s="2" t="s">
        <v>19</v>
      </c>
      <c r="C17" s="35" t="s">
        <v>236</v>
      </c>
      <c r="D17" s="36" t="s">
        <v>62</v>
      </c>
      <c r="E17" s="36" t="s">
        <v>169</v>
      </c>
      <c r="F17">
        <v>31.25</v>
      </c>
      <c r="G17" s="31">
        <f t="shared" ref="G17" si="8">(E17-D17)*24</f>
        <v>12.333333333333332</v>
      </c>
      <c r="H17">
        <f t="shared" ref="H17" si="9">MIN(G17,8)</f>
        <v>8</v>
      </c>
      <c r="I17" s="7">
        <f t="shared" ref="I17" si="10">IF(MAX(G17-8,0) - 1 &lt; 0, 0, MAX(G17-8,0) - 1)</f>
        <v>3.3333333333333321</v>
      </c>
      <c r="J17" s="7">
        <f t="shared" ref="J17" si="11">H17*F17</f>
        <v>250</v>
      </c>
      <c r="K17" s="7">
        <f t="shared" ref="K17" si="12">I17*F17*1.2</f>
        <v>124.99999999999994</v>
      </c>
      <c r="L17" s="7">
        <f t="shared" ref="L17" si="13">J17+K17</f>
        <v>374.99999999999994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200</v>
      </c>
      <c r="B24" s="8">
        <f>SUM(J2:J22)</f>
        <v>2906.25</v>
      </c>
      <c r="C24" s="8">
        <f>SUM(K2:K22)</f>
        <v>818.74999999999977</v>
      </c>
      <c r="D24" s="8">
        <f>SUM(L2:L22)</f>
        <v>3725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Monico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46238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12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2906.25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818.74999999999977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3725</v>
      </c>
      <c r="C41" s="16"/>
    </row>
    <row r="42" spans="1:3">
      <c r="A42" s="10" t="s">
        <v>47</v>
      </c>
      <c r="B42" s="14"/>
      <c r="C42" s="16"/>
    </row>
    <row r="43" spans="1:3">
      <c r="A43" s="10" t="s">
        <v>279</v>
      </c>
      <c r="B43" s="14">
        <v>-500</v>
      </c>
      <c r="C43" s="16"/>
    </row>
    <row r="44" spans="1:3">
      <c r="A44" s="10" t="s">
        <v>278</v>
      </c>
      <c r="B44" s="14">
        <v>-50</v>
      </c>
      <c r="C44" s="16"/>
    </row>
    <row r="45" spans="1:3">
      <c r="A45" s="13" t="s">
        <v>48</v>
      </c>
      <c r="B45" s="14">
        <f>SUM(B41:B44)</f>
        <v>3175</v>
      </c>
      <c r="C45" s="16"/>
    </row>
  </sheetData>
  <mergeCells count="1">
    <mergeCell ref="A28:B2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8"/>
  <sheetViews>
    <sheetView topLeftCell="A10" workbookViewId="0">
      <selection activeCell="B37" sqref="B37"/>
    </sheetView>
  </sheetViews>
  <sheetFormatPr defaultColWidth="13.33203125" defaultRowHeight="14.4"/>
  <cols>
    <col min="1" max="1" width="15.88671875" customWidth="1"/>
    <col min="2" max="2" width="20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159</v>
      </c>
      <c r="B2" s="2" t="s">
        <v>18</v>
      </c>
      <c r="C2" s="35" t="s">
        <v>210</v>
      </c>
      <c r="D2" s="36" t="s">
        <v>62</v>
      </c>
      <c r="E2" s="36" t="s">
        <v>168</v>
      </c>
      <c r="F2">
        <v>37.5</v>
      </c>
      <c r="G2">
        <f t="shared" ref="G2:G16" si="0">(E2-D2)*24</f>
        <v>12.166666666666666</v>
      </c>
      <c r="H2">
        <f t="shared" ref="H2:H16" si="1">MIN(G2,8)</f>
        <v>8</v>
      </c>
      <c r="I2" s="7">
        <f t="shared" ref="I2:I16" si="2">IF(MAX(G2-8,0) - 1 &lt; 0, 0, MAX(G2-8,0) - 1)</f>
        <v>3.1666666666666661</v>
      </c>
      <c r="J2">
        <f t="shared" ref="J2:J16" si="3">H2*F2</f>
        <v>300</v>
      </c>
      <c r="K2">
        <f t="shared" ref="K2:K16" si="4">I2*F2*1.2</f>
        <v>142.49999999999997</v>
      </c>
      <c r="L2">
        <f t="shared" ref="L2:L16" si="5">J2+K2</f>
        <v>442.5</v>
      </c>
    </row>
    <row r="3" spans="1:12">
      <c r="A3" t="s">
        <v>159</v>
      </c>
      <c r="B3" s="2" t="s">
        <v>18</v>
      </c>
      <c r="C3" s="35" t="s">
        <v>213</v>
      </c>
      <c r="D3" s="36" t="s">
        <v>62</v>
      </c>
      <c r="E3" s="36" t="s">
        <v>57</v>
      </c>
      <c r="F3">
        <v>37.5</v>
      </c>
      <c r="G3">
        <f t="shared" si="0"/>
        <v>12</v>
      </c>
      <c r="H3">
        <f t="shared" si="1"/>
        <v>8</v>
      </c>
      <c r="I3" s="7">
        <f t="shared" si="2"/>
        <v>3</v>
      </c>
      <c r="J3">
        <f t="shared" si="3"/>
        <v>300</v>
      </c>
      <c r="K3">
        <f t="shared" si="4"/>
        <v>135</v>
      </c>
      <c r="L3">
        <f t="shared" si="5"/>
        <v>435</v>
      </c>
    </row>
    <row r="4" spans="1:12">
      <c r="A4" t="s">
        <v>159</v>
      </c>
      <c r="B4" s="2" t="s">
        <v>18</v>
      </c>
      <c r="C4" s="35" t="s">
        <v>214</v>
      </c>
      <c r="D4" s="36" t="s">
        <v>62</v>
      </c>
      <c r="E4" s="36" t="s">
        <v>57</v>
      </c>
      <c r="F4">
        <v>37.5</v>
      </c>
      <c r="G4">
        <f t="shared" si="0"/>
        <v>12</v>
      </c>
      <c r="H4">
        <f t="shared" si="1"/>
        <v>8</v>
      </c>
      <c r="I4" s="7">
        <f t="shared" si="2"/>
        <v>3</v>
      </c>
      <c r="J4">
        <f t="shared" si="3"/>
        <v>300</v>
      </c>
      <c r="K4">
        <f t="shared" si="4"/>
        <v>135</v>
      </c>
      <c r="L4">
        <f t="shared" si="5"/>
        <v>435</v>
      </c>
    </row>
    <row r="5" spans="1:12">
      <c r="A5" t="s">
        <v>159</v>
      </c>
      <c r="B5" s="2" t="s">
        <v>18</v>
      </c>
      <c r="C5" s="35" t="s">
        <v>217</v>
      </c>
      <c r="D5" s="36" t="s">
        <v>62</v>
      </c>
      <c r="E5" s="36" t="s">
        <v>54</v>
      </c>
      <c r="F5">
        <v>37.5</v>
      </c>
      <c r="G5">
        <f t="shared" si="0"/>
        <v>12.5</v>
      </c>
      <c r="H5">
        <f t="shared" si="1"/>
        <v>8</v>
      </c>
      <c r="I5" s="7">
        <f t="shared" si="2"/>
        <v>3.5</v>
      </c>
      <c r="J5">
        <f t="shared" si="3"/>
        <v>300</v>
      </c>
      <c r="K5">
        <f t="shared" si="4"/>
        <v>157.5</v>
      </c>
      <c r="L5">
        <f t="shared" si="5"/>
        <v>457.5</v>
      </c>
    </row>
    <row r="6" spans="1:12">
      <c r="A6" t="s">
        <v>159</v>
      </c>
      <c r="B6" s="2" t="s">
        <v>18</v>
      </c>
      <c r="C6" s="35" t="s">
        <v>219</v>
      </c>
      <c r="D6" s="36" t="s">
        <v>62</v>
      </c>
      <c r="E6" s="36" t="s">
        <v>168</v>
      </c>
      <c r="F6">
        <v>37.5</v>
      </c>
      <c r="G6">
        <f t="shared" si="0"/>
        <v>12.166666666666666</v>
      </c>
      <c r="H6">
        <f t="shared" si="1"/>
        <v>8</v>
      </c>
      <c r="I6" s="7">
        <f t="shared" si="2"/>
        <v>3.1666666666666661</v>
      </c>
      <c r="J6">
        <f t="shared" si="3"/>
        <v>300</v>
      </c>
      <c r="K6">
        <f t="shared" si="4"/>
        <v>142.49999999999997</v>
      </c>
      <c r="L6">
        <f t="shared" si="5"/>
        <v>442.5</v>
      </c>
    </row>
    <row r="7" spans="1:12">
      <c r="A7" t="s">
        <v>159</v>
      </c>
      <c r="B7" s="2" t="s">
        <v>18</v>
      </c>
      <c r="C7" s="35" t="s">
        <v>220</v>
      </c>
      <c r="D7" s="36" t="s">
        <v>62</v>
      </c>
      <c r="E7" s="36" t="s">
        <v>57</v>
      </c>
      <c r="F7">
        <v>37.5</v>
      </c>
      <c r="G7">
        <f t="shared" si="0"/>
        <v>12</v>
      </c>
      <c r="H7">
        <f t="shared" si="1"/>
        <v>8</v>
      </c>
      <c r="I7" s="7">
        <f t="shared" si="2"/>
        <v>3</v>
      </c>
      <c r="J7">
        <f t="shared" si="3"/>
        <v>300</v>
      </c>
      <c r="K7">
        <f t="shared" si="4"/>
        <v>135</v>
      </c>
      <c r="L7">
        <f t="shared" si="5"/>
        <v>435</v>
      </c>
    </row>
    <row r="8" spans="1:12">
      <c r="A8" t="s">
        <v>159</v>
      </c>
      <c r="B8" s="2" t="s">
        <v>18</v>
      </c>
      <c r="C8" s="35" t="s">
        <v>221</v>
      </c>
      <c r="D8" s="36" t="s">
        <v>31</v>
      </c>
      <c r="E8" s="36" t="s">
        <v>31</v>
      </c>
      <c r="F8">
        <v>37.5</v>
      </c>
      <c r="G8">
        <f t="shared" si="0"/>
        <v>0</v>
      </c>
      <c r="H8">
        <f t="shared" si="1"/>
        <v>0</v>
      </c>
      <c r="I8" s="7">
        <f t="shared" si="2"/>
        <v>0</v>
      </c>
      <c r="J8">
        <f t="shared" si="3"/>
        <v>0</v>
      </c>
      <c r="K8">
        <f t="shared" si="4"/>
        <v>0</v>
      </c>
      <c r="L8">
        <f t="shared" si="5"/>
        <v>0</v>
      </c>
    </row>
    <row r="9" spans="1:12">
      <c r="A9" t="s">
        <v>159</v>
      </c>
      <c r="B9" s="2" t="s">
        <v>18</v>
      </c>
      <c r="C9" s="35" t="s">
        <v>222</v>
      </c>
      <c r="D9" s="36" t="s">
        <v>62</v>
      </c>
      <c r="E9" s="36" t="s">
        <v>57</v>
      </c>
      <c r="F9">
        <v>37.5</v>
      </c>
      <c r="G9">
        <f t="shared" si="0"/>
        <v>12</v>
      </c>
      <c r="H9">
        <f t="shared" si="1"/>
        <v>8</v>
      </c>
      <c r="I9" s="7">
        <f t="shared" si="2"/>
        <v>3</v>
      </c>
      <c r="J9">
        <f t="shared" si="3"/>
        <v>300</v>
      </c>
      <c r="K9">
        <f t="shared" si="4"/>
        <v>135</v>
      </c>
      <c r="L9">
        <f t="shared" si="5"/>
        <v>435</v>
      </c>
    </row>
    <row r="10" spans="1:12">
      <c r="A10" t="s">
        <v>159</v>
      </c>
      <c r="B10" s="2" t="s">
        <v>18</v>
      </c>
      <c r="C10" s="35" t="s">
        <v>223</v>
      </c>
      <c r="D10" s="36" t="s">
        <v>31</v>
      </c>
      <c r="E10" s="36" t="s">
        <v>31</v>
      </c>
      <c r="F10">
        <v>37.5</v>
      </c>
      <c r="G10">
        <f t="shared" si="0"/>
        <v>0</v>
      </c>
      <c r="H10">
        <f t="shared" si="1"/>
        <v>0</v>
      </c>
      <c r="I10" s="7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</row>
    <row r="11" spans="1:12">
      <c r="A11" t="s">
        <v>159</v>
      </c>
      <c r="B11" s="2" t="s">
        <v>18</v>
      </c>
      <c r="C11" s="35" t="s">
        <v>225</v>
      </c>
      <c r="D11" s="36" t="s">
        <v>62</v>
      </c>
      <c r="E11" s="36" t="s">
        <v>57</v>
      </c>
      <c r="F11">
        <v>37.5</v>
      </c>
      <c r="G11">
        <f t="shared" si="0"/>
        <v>12</v>
      </c>
      <c r="H11">
        <f t="shared" si="1"/>
        <v>8</v>
      </c>
      <c r="I11" s="7">
        <f t="shared" si="2"/>
        <v>3</v>
      </c>
      <c r="J11">
        <f t="shared" si="3"/>
        <v>300</v>
      </c>
      <c r="K11">
        <f t="shared" si="4"/>
        <v>135</v>
      </c>
      <c r="L11">
        <f t="shared" si="5"/>
        <v>435</v>
      </c>
    </row>
    <row r="12" spans="1:12">
      <c r="A12" t="s">
        <v>159</v>
      </c>
      <c r="B12" s="2" t="s">
        <v>18</v>
      </c>
      <c r="C12" s="35" t="s">
        <v>227</v>
      </c>
      <c r="D12" s="36" t="s">
        <v>62</v>
      </c>
      <c r="E12" s="36" t="s">
        <v>57</v>
      </c>
      <c r="F12">
        <v>37.5</v>
      </c>
      <c r="G12">
        <f t="shared" si="0"/>
        <v>12</v>
      </c>
      <c r="H12">
        <f t="shared" si="1"/>
        <v>8</v>
      </c>
      <c r="I12" s="7">
        <f t="shared" si="2"/>
        <v>3</v>
      </c>
      <c r="J12">
        <f t="shared" si="3"/>
        <v>300</v>
      </c>
      <c r="K12">
        <f t="shared" si="4"/>
        <v>135</v>
      </c>
      <c r="L12">
        <f t="shared" si="5"/>
        <v>435</v>
      </c>
    </row>
    <row r="13" spans="1:12">
      <c r="A13" t="s">
        <v>159</v>
      </c>
      <c r="B13" s="2" t="s">
        <v>18</v>
      </c>
      <c r="C13" s="35" t="s">
        <v>228</v>
      </c>
      <c r="D13" s="36" t="s">
        <v>62</v>
      </c>
      <c r="E13" s="36" t="s">
        <v>202</v>
      </c>
      <c r="F13">
        <v>37.5</v>
      </c>
      <c r="G13">
        <f t="shared" si="0"/>
        <v>9</v>
      </c>
      <c r="H13">
        <f t="shared" si="1"/>
        <v>8</v>
      </c>
      <c r="I13" s="7">
        <f t="shared" si="2"/>
        <v>0</v>
      </c>
      <c r="J13">
        <f t="shared" si="3"/>
        <v>300</v>
      </c>
      <c r="K13">
        <f t="shared" si="4"/>
        <v>0</v>
      </c>
      <c r="L13">
        <f t="shared" si="5"/>
        <v>300</v>
      </c>
    </row>
    <row r="14" spans="1:12">
      <c r="A14" t="s">
        <v>159</v>
      </c>
      <c r="B14" s="2" t="s">
        <v>18</v>
      </c>
      <c r="C14" s="35" t="s">
        <v>230</v>
      </c>
      <c r="D14" s="36" t="s">
        <v>62</v>
      </c>
      <c r="E14" s="36" t="s">
        <v>202</v>
      </c>
      <c r="F14">
        <v>37.5</v>
      </c>
      <c r="G14">
        <f t="shared" si="0"/>
        <v>9</v>
      </c>
      <c r="H14">
        <f t="shared" si="1"/>
        <v>8</v>
      </c>
      <c r="I14" s="7">
        <f t="shared" si="2"/>
        <v>0</v>
      </c>
      <c r="J14">
        <f t="shared" si="3"/>
        <v>300</v>
      </c>
      <c r="K14">
        <f t="shared" si="4"/>
        <v>0</v>
      </c>
      <c r="L14">
        <f t="shared" si="5"/>
        <v>300</v>
      </c>
    </row>
    <row r="15" spans="1:12">
      <c r="A15" t="s">
        <v>159</v>
      </c>
      <c r="B15" s="2" t="s">
        <v>18</v>
      </c>
      <c r="C15" s="35" t="s">
        <v>232</v>
      </c>
      <c r="D15" s="36" t="s">
        <v>31</v>
      </c>
      <c r="E15" s="36" t="s">
        <v>31</v>
      </c>
      <c r="F15">
        <v>37.5</v>
      </c>
      <c r="G15">
        <f t="shared" si="0"/>
        <v>0</v>
      </c>
      <c r="H15">
        <f t="shared" si="1"/>
        <v>0</v>
      </c>
      <c r="I15" s="7">
        <f t="shared" si="2"/>
        <v>0</v>
      </c>
      <c r="J15">
        <f t="shared" si="3"/>
        <v>0</v>
      </c>
      <c r="K15">
        <f t="shared" si="4"/>
        <v>0</v>
      </c>
      <c r="L15">
        <f t="shared" si="5"/>
        <v>0</v>
      </c>
    </row>
    <row r="16" spans="1:12">
      <c r="A16" t="s">
        <v>159</v>
      </c>
      <c r="B16" s="2" t="s">
        <v>18</v>
      </c>
      <c r="C16" s="35" t="s">
        <v>235</v>
      </c>
      <c r="D16" s="36" t="s">
        <v>62</v>
      </c>
      <c r="E16" s="36" t="s">
        <v>54</v>
      </c>
      <c r="F16">
        <v>37.5</v>
      </c>
      <c r="G16">
        <f t="shared" si="0"/>
        <v>12.5</v>
      </c>
      <c r="H16">
        <f t="shared" si="1"/>
        <v>8</v>
      </c>
      <c r="I16" s="7">
        <f t="shared" si="2"/>
        <v>3.5</v>
      </c>
      <c r="J16">
        <f t="shared" si="3"/>
        <v>300</v>
      </c>
      <c r="K16">
        <f t="shared" si="4"/>
        <v>157.5</v>
      </c>
      <c r="L16">
        <f t="shared" si="5"/>
        <v>457.5</v>
      </c>
    </row>
    <row r="17" spans="1:12">
      <c r="A17" t="s">
        <v>159</v>
      </c>
      <c r="B17" s="2" t="s">
        <v>18</v>
      </c>
      <c r="C17" s="35" t="s">
        <v>236</v>
      </c>
      <c r="D17" s="36" t="s">
        <v>62</v>
      </c>
      <c r="E17" s="36" t="s">
        <v>169</v>
      </c>
      <c r="F17">
        <v>37.5</v>
      </c>
      <c r="G17">
        <f t="shared" ref="G17" si="6">(E17-D17)*24</f>
        <v>12.333333333333332</v>
      </c>
      <c r="H17">
        <f t="shared" ref="H17" si="7">MIN(G17,8)</f>
        <v>8</v>
      </c>
      <c r="I17" s="7">
        <f t="shared" ref="I17" si="8">IF(MAX(G17-8,0) - 1 &lt; 0, 0, MAX(G17-8,0) - 1)</f>
        <v>3.3333333333333321</v>
      </c>
      <c r="J17">
        <f t="shared" ref="J17" si="9">H17*F17</f>
        <v>300</v>
      </c>
      <c r="K17">
        <f t="shared" ref="K17" si="10">I17*F17*1.2</f>
        <v>149.99999999999994</v>
      </c>
      <c r="L17">
        <f t="shared" ref="L17" si="11">J17+K17</f>
        <v>449.99999999999994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151</v>
      </c>
      <c r="B23" s="8">
        <f>SUM(J3:J21)</f>
        <v>3600</v>
      </c>
      <c r="C23" s="8">
        <f>SUM(K3:K21)</f>
        <v>1417.5</v>
      </c>
      <c r="D23" s="8">
        <f>SUM(L3:L21)</f>
        <v>5017.5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A3</f>
        <v>Renelyn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C16+5</f>
        <v>46238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COUNTIF(D2:D19, "*:*")</f>
        <v>13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3600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1417.5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5017.5</v>
      </c>
      <c r="C44" s="16"/>
    </row>
    <row r="45" spans="1:3">
      <c r="A45" s="10" t="s">
        <v>47</v>
      </c>
      <c r="B45" s="14"/>
      <c r="C45" s="16"/>
    </row>
    <row r="46" spans="1:3">
      <c r="A46" s="10" t="s">
        <v>280</v>
      </c>
      <c r="B46" s="14">
        <v>-150</v>
      </c>
      <c r="C46" s="16"/>
    </row>
    <row r="47" spans="1:3">
      <c r="A47" s="10" t="s">
        <v>278</v>
      </c>
      <c r="B47" s="14">
        <v>-315</v>
      </c>
      <c r="C47" s="16"/>
    </row>
    <row r="48" spans="1:3">
      <c r="A48" s="13" t="s">
        <v>48</v>
      </c>
      <c r="B48" s="14">
        <f>SUM(B44:B46)</f>
        <v>4867.5</v>
      </c>
      <c r="C48" s="16"/>
    </row>
  </sheetData>
  <mergeCells count="1">
    <mergeCell ref="A31:B3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7"/>
  <sheetViews>
    <sheetView topLeftCell="A13" workbookViewId="0">
      <selection activeCell="B36" sqref="B36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35" t="s">
        <v>210</v>
      </c>
      <c r="D2" s="36" t="s">
        <v>62</v>
      </c>
      <c r="E2" s="36" t="s">
        <v>162</v>
      </c>
      <c r="F2">
        <v>46.875</v>
      </c>
      <c r="G2">
        <f t="shared" ref="G2:G8" si="0">(E2-D2)*24</f>
        <v>12.183333333333334</v>
      </c>
      <c r="H2">
        <f>MIN(G2,8)</f>
        <v>8</v>
      </c>
      <c r="I2" s="7">
        <f>IF(MAX(G2-8,0) - 1 &lt; 0, 0, MAX(G2-8,0) - 1)</f>
        <v>3.1833333333333336</v>
      </c>
      <c r="J2">
        <f t="shared" ref="J2:J8" si="1">H2*F2</f>
        <v>375</v>
      </c>
      <c r="K2">
        <f t="shared" ref="K2:K8" si="2">I2*F2*1.2</f>
        <v>179.0625</v>
      </c>
      <c r="L2">
        <f t="shared" ref="L2:L8" si="3">J2+K2</f>
        <v>554.0625</v>
      </c>
    </row>
    <row r="3" spans="1:12">
      <c r="A3" t="s">
        <v>15</v>
      </c>
      <c r="B3" s="2" t="s">
        <v>18</v>
      </c>
      <c r="C3" s="35" t="s">
        <v>213</v>
      </c>
      <c r="D3" s="36" t="s">
        <v>62</v>
      </c>
      <c r="E3" s="36" t="s">
        <v>57</v>
      </c>
      <c r="F3">
        <v>46.875</v>
      </c>
      <c r="G3">
        <f t="shared" si="0"/>
        <v>12</v>
      </c>
      <c r="H3">
        <f t="shared" ref="H3:H16" si="4">MIN(G3,8)</f>
        <v>8</v>
      </c>
      <c r="I3" s="7">
        <f t="shared" ref="I3:I16" si="5">IF(MAX(G3-8,0) - 1 &lt; 0, 0, MAX(G3-8,0) - 1)</f>
        <v>3</v>
      </c>
      <c r="J3">
        <f t="shared" si="1"/>
        <v>375</v>
      </c>
      <c r="K3">
        <f t="shared" si="2"/>
        <v>168.75</v>
      </c>
      <c r="L3">
        <f t="shared" si="3"/>
        <v>543.75</v>
      </c>
    </row>
    <row r="4" spans="1:12">
      <c r="A4" t="s">
        <v>15</v>
      </c>
      <c r="B4" s="2" t="s">
        <v>18</v>
      </c>
      <c r="C4" s="35" t="s">
        <v>214</v>
      </c>
      <c r="D4" s="36" t="s">
        <v>30</v>
      </c>
      <c r="E4" s="36" t="s">
        <v>57</v>
      </c>
      <c r="F4">
        <v>46.875</v>
      </c>
      <c r="G4">
        <f t="shared" si="0"/>
        <v>12.499999999999998</v>
      </c>
      <c r="H4">
        <f t="shared" si="4"/>
        <v>8</v>
      </c>
      <c r="I4" s="7">
        <f t="shared" si="5"/>
        <v>3.4999999999999982</v>
      </c>
      <c r="J4">
        <f t="shared" si="1"/>
        <v>375</v>
      </c>
      <c r="K4">
        <f t="shared" si="2"/>
        <v>196.87499999999989</v>
      </c>
      <c r="L4">
        <f t="shared" si="3"/>
        <v>571.87499999999989</v>
      </c>
    </row>
    <row r="5" spans="1:12">
      <c r="A5" t="s">
        <v>15</v>
      </c>
      <c r="B5" s="2" t="s">
        <v>18</v>
      </c>
      <c r="C5" s="35" t="s">
        <v>217</v>
      </c>
      <c r="D5" s="36" t="s">
        <v>62</v>
      </c>
      <c r="E5" s="36" t="s">
        <v>54</v>
      </c>
      <c r="F5">
        <v>46.875</v>
      </c>
      <c r="G5">
        <f t="shared" si="0"/>
        <v>12.5</v>
      </c>
      <c r="H5">
        <f t="shared" si="4"/>
        <v>8</v>
      </c>
      <c r="I5" s="7">
        <f t="shared" si="5"/>
        <v>3.5</v>
      </c>
      <c r="J5">
        <f t="shared" si="1"/>
        <v>375</v>
      </c>
      <c r="K5">
        <f t="shared" si="2"/>
        <v>196.875</v>
      </c>
      <c r="L5">
        <f t="shared" si="3"/>
        <v>571.875</v>
      </c>
    </row>
    <row r="6" spans="1:12">
      <c r="A6" t="s">
        <v>15</v>
      </c>
      <c r="B6" s="2" t="s">
        <v>18</v>
      </c>
      <c r="C6" s="35" t="s">
        <v>219</v>
      </c>
      <c r="D6" s="36" t="s">
        <v>62</v>
      </c>
      <c r="E6" s="36" t="s">
        <v>168</v>
      </c>
      <c r="F6">
        <v>46.875</v>
      </c>
      <c r="G6">
        <f t="shared" si="0"/>
        <v>12.166666666666666</v>
      </c>
      <c r="H6">
        <f t="shared" si="4"/>
        <v>8</v>
      </c>
      <c r="I6" s="7">
        <f t="shared" si="5"/>
        <v>3.1666666666666661</v>
      </c>
      <c r="J6">
        <f t="shared" si="1"/>
        <v>375</v>
      </c>
      <c r="K6">
        <f t="shared" si="2"/>
        <v>178.12499999999997</v>
      </c>
      <c r="L6">
        <f t="shared" si="3"/>
        <v>553.125</v>
      </c>
    </row>
    <row r="7" spans="1:12">
      <c r="A7" t="s">
        <v>15</v>
      </c>
      <c r="B7" s="2" t="s">
        <v>18</v>
      </c>
      <c r="C7" s="35" t="s">
        <v>220</v>
      </c>
      <c r="D7" s="36" t="s">
        <v>62</v>
      </c>
      <c r="E7" s="36" t="s">
        <v>57</v>
      </c>
      <c r="F7">
        <v>46.875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375</v>
      </c>
      <c r="K7">
        <f t="shared" si="2"/>
        <v>168.75</v>
      </c>
      <c r="L7">
        <f t="shared" si="3"/>
        <v>543.75</v>
      </c>
    </row>
    <row r="8" spans="1:12">
      <c r="A8" t="s">
        <v>15</v>
      </c>
      <c r="B8" s="2" t="s">
        <v>18</v>
      </c>
      <c r="C8" s="35" t="s">
        <v>221</v>
      </c>
      <c r="D8" s="36" t="s">
        <v>31</v>
      </c>
      <c r="E8" s="36" t="s">
        <v>31</v>
      </c>
      <c r="F8">
        <v>46.875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15</v>
      </c>
      <c r="B9" s="2" t="s">
        <v>18</v>
      </c>
      <c r="C9" s="35" t="s">
        <v>222</v>
      </c>
      <c r="D9" s="36" t="s">
        <v>62</v>
      </c>
      <c r="E9" s="36" t="s">
        <v>57</v>
      </c>
      <c r="F9">
        <v>46.875</v>
      </c>
      <c r="G9">
        <f t="shared" ref="G9:G15" si="6">(E9-D9)*24</f>
        <v>12</v>
      </c>
      <c r="H9">
        <f t="shared" si="4"/>
        <v>8</v>
      </c>
      <c r="I9" s="7">
        <f t="shared" si="5"/>
        <v>3</v>
      </c>
      <c r="J9">
        <f t="shared" ref="J9:J15" si="7">H9*F9</f>
        <v>375</v>
      </c>
      <c r="K9">
        <f t="shared" ref="K9:K15" si="8">I9*F9*1.2</f>
        <v>168.75</v>
      </c>
      <c r="L9">
        <f t="shared" ref="L9:L15" si="9">J9+K9</f>
        <v>543.75</v>
      </c>
    </row>
    <row r="10" spans="1:12">
      <c r="A10" t="s">
        <v>15</v>
      </c>
      <c r="B10" s="2" t="s">
        <v>18</v>
      </c>
      <c r="C10" s="35" t="s">
        <v>223</v>
      </c>
      <c r="D10" s="36" t="s">
        <v>62</v>
      </c>
      <c r="E10" s="36" t="s">
        <v>65</v>
      </c>
      <c r="F10">
        <v>46.875</v>
      </c>
      <c r="G10">
        <f t="shared" si="6"/>
        <v>6.9999999999999991</v>
      </c>
      <c r="H10">
        <f t="shared" si="4"/>
        <v>6.9999999999999991</v>
      </c>
      <c r="I10" s="7">
        <f t="shared" si="5"/>
        <v>0</v>
      </c>
      <c r="J10">
        <f t="shared" si="7"/>
        <v>328.12499999999994</v>
      </c>
      <c r="K10">
        <f t="shared" si="8"/>
        <v>0</v>
      </c>
      <c r="L10">
        <f t="shared" si="9"/>
        <v>328.12499999999994</v>
      </c>
    </row>
    <row r="11" spans="1:12">
      <c r="A11" t="s">
        <v>15</v>
      </c>
      <c r="B11" s="2" t="s">
        <v>18</v>
      </c>
      <c r="C11" s="35" t="s">
        <v>225</v>
      </c>
      <c r="D11" s="36" t="s">
        <v>62</v>
      </c>
      <c r="E11" s="36" t="s">
        <v>57</v>
      </c>
      <c r="F11">
        <v>46.875</v>
      </c>
      <c r="G11">
        <f t="shared" si="6"/>
        <v>12</v>
      </c>
      <c r="H11">
        <f t="shared" si="4"/>
        <v>8</v>
      </c>
      <c r="I11" s="7">
        <f t="shared" si="5"/>
        <v>3</v>
      </c>
      <c r="J11">
        <f t="shared" si="7"/>
        <v>375</v>
      </c>
      <c r="K11">
        <f t="shared" si="8"/>
        <v>168.75</v>
      </c>
      <c r="L11">
        <f t="shared" si="9"/>
        <v>543.75</v>
      </c>
    </row>
    <row r="12" spans="1:12">
      <c r="A12" t="s">
        <v>15</v>
      </c>
      <c r="B12" s="2" t="s">
        <v>18</v>
      </c>
      <c r="C12" s="35" t="s">
        <v>227</v>
      </c>
      <c r="D12" s="36" t="s">
        <v>62</v>
      </c>
      <c r="E12" s="36" t="s">
        <v>57</v>
      </c>
      <c r="F12">
        <v>46.875</v>
      </c>
      <c r="G12">
        <f t="shared" si="6"/>
        <v>12</v>
      </c>
      <c r="H12">
        <f t="shared" si="4"/>
        <v>8</v>
      </c>
      <c r="I12" s="7">
        <f t="shared" si="5"/>
        <v>3</v>
      </c>
      <c r="J12">
        <f t="shared" si="7"/>
        <v>375</v>
      </c>
      <c r="K12">
        <f t="shared" si="8"/>
        <v>168.75</v>
      </c>
      <c r="L12">
        <f t="shared" si="9"/>
        <v>543.75</v>
      </c>
    </row>
    <row r="13" spans="1:12">
      <c r="A13" t="s">
        <v>15</v>
      </c>
      <c r="B13" s="2" t="s">
        <v>18</v>
      </c>
      <c r="C13" s="35" t="s">
        <v>228</v>
      </c>
      <c r="D13" s="36" t="s">
        <v>62</v>
      </c>
      <c r="E13" s="36" t="s">
        <v>57</v>
      </c>
      <c r="F13">
        <v>46.875</v>
      </c>
      <c r="G13">
        <f t="shared" si="6"/>
        <v>12</v>
      </c>
      <c r="H13">
        <f t="shared" si="4"/>
        <v>8</v>
      </c>
      <c r="I13" s="7">
        <f t="shared" si="5"/>
        <v>3</v>
      </c>
      <c r="J13">
        <f t="shared" si="7"/>
        <v>375</v>
      </c>
      <c r="K13">
        <f t="shared" si="8"/>
        <v>168.75</v>
      </c>
      <c r="L13">
        <f t="shared" si="9"/>
        <v>543.75</v>
      </c>
    </row>
    <row r="14" spans="1:12">
      <c r="A14" t="s">
        <v>15</v>
      </c>
      <c r="B14" s="2" t="s">
        <v>18</v>
      </c>
      <c r="C14" s="35" t="s">
        <v>230</v>
      </c>
      <c r="D14" s="36" t="s">
        <v>62</v>
      </c>
      <c r="E14" s="36" t="s">
        <v>57</v>
      </c>
      <c r="F14">
        <v>46.875</v>
      </c>
      <c r="G14">
        <f t="shared" si="6"/>
        <v>12</v>
      </c>
      <c r="H14">
        <f t="shared" si="4"/>
        <v>8</v>
      </c>
      <c r="I14" s="7">
        <f t="shared" si="5"/>
        <v>3</v>
      </c>
      <c r="J14">
        <f t="shared" si="7"/>
        <v>375</v>
      </c>
      <c r="K14">
        <f t="shared" si="8"/>
        <v>168.75</v>
      </c>
      <c r="L14">
        <f t="shared" si="9"/>
        <v>543.75</v>
      </c>
    </row>
    <row r="15" spans="1:12">
      <c r="A15" t="s">
        <v>15</v>
      </c>
      <c r="B15" s="2" t="s">
        <v>18</v>
      </c>
      <c r="C15" s="35" t="s">
        <v>232</v>
      </c>
      <c r="D15" s="36" t="s">
        <v>31</v>
      </c>
      <c r="E15" s="36" t="s">
        <v>31</v>
      </c>
      <c r="F15">
        <v>46.875</v>
      </c>
      <c r="G15">
        <f t="shared" si="6"/>
        <v>0</v>
      </c>
      <c r="H15">
        <f t="shared" si="4"/>
        <v>0</v>
      </c>
      <c r="I15" s="7">
        <f t="shared" si="5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15</v>
      </c>
      <c r="B16" s="2" t="s">
        <v>18</v>
      </c>
      <c r="C16" s="35" t="s">
        <v>235</v>
      </c>
      <c r="D16" s="36" t="s">
        <v>62</v>
      </c>
      <c r="E16" s="36" t="s">
        <v>54</v>
      </c>
      <c r="F16">
        <v>46.875</v>
      </c>
      <c r="G16">
        <f t="shared" ref="G16" si="10">(E16-D16)*24</f>
        <v>12.5</v>
      </c>
      <c r="H16">
        <f t="shared" si="4"/>
        <v>8</v>
      </c>
      <c r="I16" s="7">
        <f t="shared" si="5"/>
        <v>3.5</v>
      </c>
      <c r="J16">
        <f t="shared" ref="J16" si="11">H16*F16</f>
        <v>375</v>
      </c>
      <c r="K16">
        <f t="shared" ref="K16" si="12">I16*F16*1.2</f>
        <v>196.875</v>
      </c>
      <c r="L16">
        <f t="shared" ref="L16" si="13">J16+K16</f>
        <v>571.875</v>
      </c>
    </row>
    <row r="17" spans="1:12">
      <c r="A17" t="s">
        <v>15</v>
      </c>
      <c r="B17" s="2" t="s">
        <v>18</v>
      </c>
      <c r="C17" s="35" t="s">
        <v>236</v>
      </c>
      <c r="D17" s="36" t="s">
        <v>62</v>
      </c>
      <c r="E17" s="36" t="s">
        <v>169</v>
      </c>
      <c r="F17">
        <v>46.875</v>
      </c>
      <c r="G17">
        <f t="shared" ref="G17" si="14">(E17-D17)*24</f>
        <v>12.333333333333332</v>
      </c>
      <c r="H17">
        <f t="shared" ref="H17" si="15">MIN(G17,8)</f>
        <v>8</v>
      </c>
      <c r="I17" s="7">
        <f t="shared" ref="I17" si="16">IF(MAX(G17-8,0) - 1 &lt; 0, 0, MAX(G17-8,0) - 1)</f>
        <v>3.3333333333333321</v>
      </c>
      <c r="J17">
        <f t="shared" ref="J17" si="17">H17*F17</f>
        <v>375</v>
      </c>
      <c r="K17">
        <f t="shared" ref="K17" si="18">I17*F17*1.2</f>
        <v>187.49999999999991</v>
      </c>
      <c r="L17">
        <f t="shared" ref="L17" si="19">J17+K17</f>
        <v>562.49999999999989</v>
      </c>
    </row>
    <row r="18" spans="1:12">
      <c r="C18" s="16"/>
      <c r="D18" s="16"/>
      <c r="E18" s="16"/>
    </row>
    <row r="21" spans="1:12">
      <c r="A21" s="6" t="s">
        <v>34</v>
      </c>
      <c r="B21" s="6" t="s">
        <v>35</v>
      </c>
      <c r="C21" s="6" t="s">
        <v>36</v>
      </c>
      <c r="D21" s="6" t="s">
        <v>37</v>
      </c>
    </row>
    <row r="22" spans="1:12">
      <c r="A22" t="s">
        <v>15</v>
      </c>
      <c r="B22" s="8">
        <f>SUM(J2:J20)</f>
        <v>5203.125</v>
      </c>
      <c r="C22" s="8">
        <f>SUM(K2:K20)</f>
        <v>2316.5625</v>
      </c>
      <c r="D22" s="8">
        <f>SUM(L2:L20)</f>
        <v>7519.6875</v>
      </c>
    </row>
    <row r="25" spans="1:12">
      <c r="G25" s="22"/>
      <c r="H25" s="22"/>
      <c r="I25" s="4"/>
      <c r="J25" s="4"/>
      <c r="K25" s="23"/>
    </row>
    <row r="26" spans="1:12">
      <c r="G26" s="22"/>
      <c r="H26" s="22"/>
      <c r="I26" s="4"/>
      <c r="J26" s="4"/>
      <c r="K26" s="23"/>
    </row>
    <row r="27" spans="1:12">
      <c r="G27" s="22"/>
      <c r="H27" s="4"/>
      <c r="I27" s="5"/>
      <c r="J27" s="5"/>
    </row>
    <row r="28" spans="1:12">
      <c r="G28" s="22"/>
      <c r="H28" s="4"/>
      <c r="I28" s="24"/>
      <c r="J28" s="24"/>
    </row>
    <row r="29" spans="1:12">
      <c r="G29" s="22"/>
      <c r="H29" s="4"/>
      <c r="I29" s="5"/>
      <c r="J29" s="5"/>
    </row>
    <row r="30" spans="1:12" ht="21.6" customHeight="1">
      <c r="A30" s="37" t="s">
        <v>39</v>
      </c>
      <c r="B30" s="37"/>
      <c r="C30" s="15"/>
      <c r="D30" s="9"/>
      <c r="G30" s="22"/>
      <c r="H30" s="4"/>
      <c r="I30" s="5"/>
      <c r="J30" s="5"/>
    </row>
    <row r="31" spans="1:12">
      <c r="A31" s="10" t="s">
        <v>40</v>
      </c>
      <c r="B31" s="11" t="str">
        <f>A2</f>
        <v>Cherry</v>
      </c>
      <c r="C31" s="16"/>
      <c r="G31" s="22"/>
      <c r="H31" s="4"/>
      <c r="I31" s="5"/>
      <c r="J31" s="5"/>
    </row>
    <row r="32" spans="1:12">
      <c r="A32" s="10" t="s">
        <v>41</v>
      </c>
      <c r="B32" s="11" t="s">
        <v>55</v>
      </c>
      <c r="C32" s="16"/>
      <c r="G32" s="22"/>
      <c r="H32" s="4"/>
      <c r="I32" s="5"/>
      <c r="J32" s="5"/>
    </row>
    <row r="33" spans="1:10">
      <c r="A33" s="10" t="s">
        <v>42</v>
      </c>
      <c r="B33" s="12">
        <f>C16+5</f>
        <v>46238</v>
      </c>
      <c r="C33" s="16"/>
      <c r="G33" s="22"/>
      <c r="H33" s="4"/>
      <c r="I33" s="24"/>
      <c r="J33" s="24"/>
    </row>
    <row r="34" spans="1:10">
      <c r="A34" s="10" t="s">
        <v>50</v>
      </c>
      <c r="B34" s="10" t="str">
        <f>Marlon!B35</f>
        <v>July-1 to July-15, 2026</v>
      </c>
      <c r="C34" s="16"/>
      <c r="G34" s="22"/>
      <c r="H34" s="4"/>
      <c r="I34" s="5"/>
      <c r="J34" s="5"/>
    </row>
    <row r="35" spans="1:10">
      <c r="A35" s="10" t="s">
        <v>63</v>
      </c>
      <c r="B35" s="10">
        <f>COUNTIF(D1:D19, "*:*")</f>
        <v>14</v>
      </c>
      <c r="C35" s="16"/>
    </row>
    <row r="36" spans="1:10">
      <c r="A36" s="13" t="s">
        <v>53</v>
      </c>
      <c r="B36" s="10"/>
      <c r="C36" s="17"/>
    </row>
    <row r="37" spans="1:10">
      <c r="A37" s="10" t="s">
        <v>44</v>
      </c>
      <c r="B37" s="14">
        <f>B22</f>
        <v>5203.125</v>
      </c>
      <c r="C37" s="16"/>
    </row>
    <row r="38" spans="1:10">
      <c r="A38" s="10" t="s">
        <v>43</v>
      </c>
      <c r="B38" s="14">
        <v>500</v>
      </c>
      <c r="C38" s="16"/>
    </row>
    <row r="39" spans="1:10">
      <c r="A39" s="10" t="s">
        <v>6</v>
      </c>
      <c r="B39" s="14">
        <f>C22</f>
        <v>2316.5625</v>
      </c>
      <c r="C39" s="16"/>
    </row>
    <row r="40" spans="1:10">
      <c r="A40" s="10" t="s">
        <v>45</v>
      </c>
      <c r="B40" s="14">
        <v>0</v>
      </c>
      <c r="C40" s="16"/>
    </row>
    <row r="41" spans="1:10">
      <c r="A41" s="10"/>
      <c r="B41" s="14"/>
      <c r="C41" s="16"/>
    </row>
    <row r="42" spans="1:10">
      <c r="A42" s="10"/>
      <c r="B42" s="14"/>
      <c r="C42" s="16"/>
    </row>
    <row r="43" spans="1:10">
      <c r="A43" s="10" t="s">
        <v>46</v>
      </c>
      <c r="B43" s="14">
        <f>SUM(B37:B40)</f>
        <v>8019.6875</v>
      </c>
      <c r="C43" s="16"/>
    </row>
    <row r="44" spans="1:10">
      <c r="A44" s="10" t="s">
        <v>47</v>
      </c>
      <c r="B44" s="14">
        <v>0</v>
      </c>
      <c r="C44" s="16"/>
    </row>
    <row r="45" spans="1:10">
      <c r="A45" s="10" t="s">
        <v>52</v>
      </c>
      <c r="B45" s="14">
        <v>0</v>
      </c>
      <c r="C45" s="16"/>
    </row>
    <row r="46" spans="1:10">
      <c r="A46" s="10"/>
      <c r="B46" s="14"/>
      <c r="C46" s="16"/>
    </row>
    <row r="47" spans="1:10">
      <c r="A47" s="13" t="s">
        <v>48</v>
      </c>
      <c r="B47" s="14">
        <f>SUM(B43:B46)</f>
        <v>8019.6875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9"/>
  <sheetViews>
    <sheetView topLeftCell="A16" workbookViewId="0">
      <selection activeCell="B37" sqref="B37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201</v>
      </c>
      <c r="B2" s="2" t="s">
        <v>18</v>
      </c>
      <c r="C2" s="35" t="s">
        <v>210</v>
      </c>
      <c r="D2" s="36" t="s">
        <v>62</v>
      </c>
      <c r="E2" s="36" t="s">
        <v>57</v>
      </c>
      <c r="F2">
        <v>37.5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 s="7">
        <f t="shared" ref="J2:J8" si="1">H2*F2</f>
        <v>300</v>
      </c>
      <c r="K2" s="7">
        <f t="shared" ref="K2:K8" si="2">I2*F2*1.2</f>
        <v>135</v>
      </c>
      <c r="L2" s="7">
        <f t="shared" ref="L2:L8" si="3">J2+K2</f>
        <v>435</v>
      </c>
    </row>
    <row r="3" spans="1:12">
      <c r="A3" t="s">
        <v>201</v>
      </c>
      <c r="B3" s="2" t="s">
        <v>18</v>
      </c>
      <c r="C3" s="35" t="s">
        <v>213</v>
      </c>
      <c r="D3" s="36" t="s">
        <v>62</v>
      </c>
      <c r="E3" s="36" t="s">
        <v>57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300</v>
      </c>
      <c r="K3" s="7">
        <f t="shared" si="2"/>
        <v>135</v>
      </c>
      <c r="L3" s="7">
        <f t="shared" si="3"/>
        <v>435</v>
      </c>
    </row>
    <row r="4" spans="1:12">
      <c r="A4" t="s">
        <v>201</v>
      </c>
      <c r="B4" s="2" t="s">
        <v>18</v>
      </c>
      <c r="C4" s="35" t="s">
        <v>214</v>
      </c>
      <c r="D4" s="36" t="s">
        <v>30</v>
      </c>
      <c r="E4" s="36" t="s">
        <v>168</v>
      </c>
      <c r="F4">
        <v>37.5</v>
      </c>
      <c r="G4">
        <f t="shared" si="0"/>
        <v>12.666666666666664</v>
      </c>
      <c r="H4">
        <f t="shared" si="4"/>
        <v>8</v>
      </c>
      <c r="I4" s="7">
        <f t="shared" si="5"/>
        <v>3.6666666666666643</v>
      </c>
      <c r="J4" s="7">
        <f t="shared" si="1"/>
        <v>300</v>
      </c>
      <c r="K4" s="7">
        <f t="shared" si="2"/>
        <v>164.99999999999989</v>
      </c>
      <c r="L4" s="7">
        <f t="shared" si="3"/>
        <v>464.99999999999989</v>
      </c>
    </row>
    <row r="5" spans="1:12">
      <c r="A5" t="s">
        <v>201</v>
      </c>
      <c r="B5" s="2" t="s">
        <v>18</v>
      </c>
      <c r="C5" s="35" t="s">
        <v>217</v>
      </c>
      <c r="D5" s="36" t="s">
        <v>62</v>
      </c>
      <c r="E5" s="36" t="s">
        <v>54</v>
      </c>
      <c r="F5">
        <v>37.5</v>
      </c>
      <c r="G5">
        <f t="shared" si="0"/>
        <v>12.5</v>
      </c>
      <c r="H5">
        <f t="shared" si="4"/>
        <v>8</v>
      </c>
      <c r="I5" s="7">
        <f t="shared" si="5"/>
        <v>3.5</v>
      </c>
      <c r="J5" s="7">
        <f t="shared" si="1"/>
        <v>300</v>
      </c>
      <c r="K5" s="7">
        <f t="shared" si="2"/>
        <v>157.5</v>
      </c>
      <c r="L5" s="7">
        <f t="shared" si="3"/>
        <v>457.5</v>
      </c>
    </row>
    <row r="6" spans="1:12">
      <c r="A6" t="s">
        <v>201</v>
      </c>
      <c r="B6" s="2" t="s">
        <v>18</v>
      </c>
      <c r="C6" s="35" t="s">
        <v>219</v>
      </c>
      <c r="D6" s="36" t="s">
        <v>62</v>
      </c>
      <c r="E6" s="36" t="s">
        <v>57</v>
      </c>
      <c r="F6">
        <v>37.5</v>
      </c>
      <c r="G6">
        <f t="shared" si="0"/>
        <v>12</v>
      </c>
      <c r="H6">
        <f t="shared" si="4"/>
        <v>8</v>
      </c>
      <c r="I6" s="7">
        <f t="shared" si="5"/>
        <v>3</v>
      </c>
      <c r="J6" s="7">
        <f t="shared" si="1"/>
        <v>300</v>
      </c>
      <c r="K6" s="7">
        <f t="shared" si="2"/>
        <v>135</v>
      </c>
      <c r="L6" s="7">
        <f t="shared" si="3"/>
        <v>435</v>
      </c>
    </row>
    <row r="7" spans="1:12">
      <c r="A7" t="s">
        <v>201</v>
      </c>
      <c r="B7" s="2" t="s">
        <v>18</v>
      </c>
      <c r="C7" s="35" t="s">
        <v>220</v>
      </c>
      <c r="D7" s="36" t="s">
        <v>62</v>
      </c>
      <c r="E7" s="36" t="s">
        <v>57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300</v>
      </c>
      <c r="K7" s="7">
        <f t="shared" si="2"/>
        <v>135</v>
      </c>
      <c r="L7" s="7">
        <f t="shared" si="3"/>
        <v>435</v>
      </c>
    </row>
    <row r="8" spans="1:12">
      <c r="A8" t="s">
        <v>201</v>
      </c>
      <c r="B8" s="2" t="s">
        <v>18</v>
      </c>
      <c r="C8" s="35" t="s">
        <v>221</v>
      </c>
      <c r="D8" s="36" t="s">
        <v>31</v>
      </c>
      <c r="E8" s="36" t="s">
        <v>31</v>
      </c>
      <c r="F8">
        <v>37.5</v>
      </c>
      <c r="G8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201</v>
      </c>
      <c r="B9" s="2" t="s">
        <v>18</v>
      </c>
      <c r="C9" s="35" t="s">
        <v>222</v>
      </c>
      <c r="D9" s="36" t="s">
        <v>62</v>
      </c>
      <c r="E9" s="36" t="s">
        <v>57</v>
      </c>
      <c r="F9">
        <v>37.5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 s="7">
        <f t="shared" ref="J9:J15" si="7">H9*F9</f>
        <v>300</v>
      </c>
      <c r="K9" s="7">
        <f t="shared" ref="K9:K15" si="8">I9*F9*1.2</f>
        <v>135</v>
      </c>
      <c r="L9" s="7">
        <f t="shared" ref="L9:L15" si="9">J9+K9</f>
        <v>435</v>
      </c>
    </row>
    <row r="10" spans="1:12">
      <c r="A10" t="s">
        <v>201</v>
      </c>
      <c r="B10" s="2" t="s">
        <v>18</v>
      </c>
      <c r="C10" s="35" t="s">
        <v>223</v>
      </c>
      <c r="D10" s="36" t="s">
        <v>62</v>
      </c>
      <c r="E10" s="36" t="s">
        <v>54</v>
      </c>
      <c r="F10">
        <v>37.5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 s="7">
        <f t="shared" si="7"/>
        <v>300</v>
      </c>
      <c r="K10" s="7">
        <f t="shared" si="8"/>
        <v>157.5</v>
      </c>
      <c r="L10" s="7">
        <f t="shared" si="9"/>
        <v>457.5</v>
      </c>
    </row>
    <row r="11" spans="1:12">
      <c r="A11" t="s">
        <v>201</v>
      </c>
      <c r="B11" s="2" t="s">
        <v>18</v>
      </c>
      <c r="C11" s="35" t="s">
        <v>225</v>
      </c>
      <c r="D11" s="36" t="s">
        <v>31</v>
      </c>
      <c r="E11" s="36" t="s">
        <v>31</v>
      </c>
      <c r="F11">
        <v>37.5</v>
      </c>
      <c r="G11">
        <f t="shared" si="6"/>
        <v>0</v>
      </c>
      <c r="H11">
        <f t="shared" si="10"/>
        <v>0</v>
      </c>
      <c r="I11" s="7">
        <f t="shared" si="11"/>
        <v>0</v>
      </c>
      <c r="J11" s="7">
        <f t="shared" si="7"/>
        <v>0</v>
      </c>
      <c r="K11" s="7">
        <f t="shared" si="8"/>
        <v>0</v>
      </c>
      <c r="L11" s="7">
        <f t="shared" si="9"/>
        <v>0</v>
      </c>
    </row>
    <row r="12" spans="1:12">
      <c r="A12" t="s">
        <v>201</v>
      </c>
      <c r="B12" s="2" t="s">
        <v>18</v>
      </c>
      <c r="C12" s="35" t="s">
        <v>227</v>
      </c>
      <c r="D12" s="36" t="s">
        <v>62</v>
      </c>
      <c r="E12" s="36" t="s">
        <v>57</v>
      </c>
      <c r="F12">
        <v>37.5</v>
      </c>
      <c r="G12">
        <f t="shared" si="6"/>
        <v>12</v>
      </c>
      <c r="H12">
        <f t="shared" si="10"/>
        <v>8</v>
      </c>
      <c r="I12" s="7">
        <f t="shared" si="11"/>
        <v>3</v>
      </c>
      <c r="J12" s="7">
        <f t="shared" si="7"/>
        <v>300</v>
      </c>
      <c r="K12" s="7">
        <f t="shared" si="8"/>
        <v>135</v>
      </c>
      <c r="L12" s="7">
        <f t="shared" si="9"/>
        <v>435</v>
      </c>
    </row>
    <row r="13" spans="1:12">
      <c r="A13" t="s">
        <v>201</v>
      </c>
      <c r="B13" s="2" t="s">
        <v>18</v>
      </c>
      <c r="C13" s="35" t="s">
        <v>228</v>
      </c>
      <c r="D13" s="36" t="s">
        <v>62</v>
      </c>
      <c r="E13" s="36" t="s">
        <v>57</v>
      </c>
      <c r="F13">
        <v>37.5</v>
      </c>
      <c r="G13">
        <f t="shared" si="6"/>
        <v>12</v>
      </c>
      <c r="H13">
        <f t="shared" si="10"/>
        <v>8</v>
      </c>
      <c r="I13" s="7">
        <f t="shared" si="11"/>
        <v>3</v>
      </c>
      <c r="J13" s="7">
        <f t="shared" si="7"/>
        <v>300</v>
      </c>
      <c r="K13" s="7">
        <f t="shared" si="8"/>
        <v>135</v>
      </c>
      <c r="L13" s="7">
        <f t="shared" si="9"/>
        <v>435</v>
      </c>
    </row>
    <row r="14" spans="1:12">
      <c r="A14" t="s">
        <v>201</v>
      </c>
      <c r="B14" s="2" t="s">
        <v>18</v>
      </c>
      <c r="C14" s="35" t="s">
        <v>230</v>
      </c>
      <c r="D14" s="36" t="s">
        <v>62</v>
      </c>
      <c r="E14" s="36" t="s">
        <v>57</v>
      </c>
      <c r="F14">
        <v>37.5</v>
      </c>
      <c r="G14">
        <f t="shared" si="6"/>
        <v>12</v>
      </c>
      <c r="H14">
        <f t="shared" si="10"/>
        <v>8</v>
      </c>
      <c r="I14" s="7">
        <f t="shared" si="11"/>
        <v>3</v>
      </c>
      <c r="J14" s="7">
        <f t="shared" si="7"/>
        <v>300</v>
      </c>
      <c r="K14" s="7">
        <f t="shared" si="8"/>
        <v>135</v>
      </c>
      <c r="L14" s="7">
        <f t="shared" si="9"/>
        <v>435</v>
      </c>
    </row>
    <row r="15" spans="1:12">
      <c r="A15" t="s">
        <v>201</v>
      </c>
      <c r="B15" s="2" t="s">
        <v>18</v>
      </c>
      <c r="C15" s="35" t="s">
        <v>232</v>
      </c>
      <c r="D15" s="36" t="s">
        <v>62</v>
      </c>
      <c r="E15" s="36" t="s">
        <v>57</v>
      </c>
      <c r="F15">
        <v>37.5</v>
      </c>
      <c r="G15">
        <f t="shared" si="6"/>
        <v>12</v>
      </c>
      <c r="H15">
        <f t="shared" si="10"/>
        <v>8</v>
      </c>
      <c r="I15" s="7">
        <f t="shared" si="11"/>
        <v>3</v>
      </c>
      <c r="J15" s="7">
        <f t="shared" si="7"/>
        <v>300</v>
      </c>
      <c r="K15" s="7">
        <f t="shared" si="8"/>
        <v>135</v>
      </c>
      <c r="L15" s="7">
        <f t="shared" si="9"/>
        <v>435</v>
      </c>
    </row>
    <row r="16" spans="1:12">
      <c r="A16" t="s">
        <v>201</v>
      </c>
      <c r="B16" s="2" t="s">
        <v>18</v>
      </c>
      <c r="C16" s="35" t="s">
        <v>235</v>
      </c>
      <c r="D16" s="36" t="s">
        <v>62</v>
      </c>
      <c r="E16" s="36" t="s">
        <v>54</v>
      </c>
      <c r="F16">
        <v>37.5</v>
      </c>
      <c r="G16">
        <f t="shared" ref="G16" si="12">(E16-D16)*24</f>
        <v>12.5</v>
      </c>
      <c r="H16">
        <f t="shared" ref="H16" si="13">MIN(G16,8)</f>
        <v>8</v>
      </c>
      <c r="I16" s="7">
        <f t="shared" ref="I16" si="14">IF(MAX(G16-8,0) - 1 &lt; 0, 0, MAX(G16-8,0) - 1)</f>
        <v>3.5</v>
      </c>
      <c r="J16" s="7">
        <f t="shared" ref="J16" si="15">H16*F16</f>
        <v>300</v>
      </c>
      <c r="K16" s="7">
        <f t="shared" ref="K16" si="16">I16*F16*1.2</f>
        <v>157.5</v>
      </c>
      <c r="L16" s="7">
        <f t="shared" ref="L16" si="17">J16+K16</f>
        <v>457.5</v>
      </c>
    </row>
    <row r="17" spans="1:12">
      <c r="A17" t="s">
        <v>201</v>
      </c>
      <c r="B17" s="2" t="s">
        <v>18</v>
      </c>
      <c r="C17" s="35" t="s">
        <v>236</v>
      </c>
      <c r="D17" s="36" t="s">
        <v>62</v>
      </c>
      <c r="E17" s="36" t="s">
        <v>202</v>
      </c>
      <c r="F17">
        <v>37.5</v>
      </c>
      <c r="G17">
        <f t="shared" ref="G17" si="18">(E17-D17)*24</f>
        <v>9</v>
      </c>
      <c r="H17">
        <f t="shared" ref="H17" si="19">MIN(G17,8)</f>
        <v>8</v>
      </c>
      <c r="I17" s="7">
        <f t="shared" ref="I17" si="20">IF(MAX(G17-8,0) - 1 &lt; 0, 0, MAX(G17-8,0) - 1)</f>
        <v>0</v>
      </c>
      <c r="J17" s="7">
        <f t="shared" ref="J17" si="21">H17*F17</f>
        <v>300</v>
      </c>
      <c r="K17" s="7">
        <f t="shared" ref="K17" si="22">I17*F17*1.2</f>
        <v>0</v>
      </c>
      <c r="L17" s="7">
        <f t="shared" ref="L17" si="23">J17+K17</f>
        <v>300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201</v>
      </c>
      <c r="B23" s="8">
        <f>SUM(J2:J21)</f>
        <v>4200</v>
      </c>
      <c r="C23" s="8">
        <f>SUM(K2:K21)</f>
        <v>1852.5</v>
      </c>
      <c r="D23" s="8">
        <f>SUM(L2:L21)</f>
        <v>6052.5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">
        <v>201</v>
      </c>
      <c r="C32" s="16"/>
    </row>
    <row r="33" spans="1:3">
      <c r="A33" s="10" t="s">
        <v>41</v>
      </c>
      <c r="B33" s="11" t="s">
        <v>91</v>
      </c>
      <c r="C33" s="16"/>
    </row>
    <row r="34" spans="1:3">
      <c r="A34" s="10" t="s">
        <v>42</v>
      </c>
      <c r="B34" s="12">
        <f>C16+5</f>
        <v>46238</v>
      </c>
      <c r="C34" s="16"/>
    </row>
    <row r="35" spans="1:3">
      <c r="A35" s="10" t="s">
        <v>50</v>
      </c>
      <c r="B35" s="10" t="s">
        <v>209</v>
      </c>
      <c r="C35" s="16"/>
    </row>
    <row r="36" spans="1:3">
      <c r="A36" s="10" t="s">
        <v>63</v>
      </c>
      <c r="B36" s="10">
        <f>COUNTIF(D2:D19, "*:*")</f>
        <v>14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4200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1852.5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D23</f>
        <v>6052.5</v>
      </c>
      <c r="C43" s="16"/>
    </row>
    <row r="44" spans="1:3">
      <c r="A44" s="10" t="s">
        <v>47</v>
      </c>
      <c r="B44" s="14"/>
      <c r="C44" s="16"/>
    </row>
    <row r="45" spans="1:3">
      <c r="A45" s="10" t="s">
        <v>172</v>
      </c>
      <c r="B45" s="14">
        <v>-500</v>
      </c>
      <c r="C45" s="16"/>
    </row>
    <row r="46" spans="1:3">
      <c r="A46" s="10" t="s">
        <v>172</v>
      </c>
      <c r="B46" s="14">
        <v>-500</v>
      </c>
      <c r="C46" s="16"/>
    </row>
    <row r="47" spans="1:3">
      <c r="A47" s="10"/>
      <c r="B47" s="14"/>
      <c r="C47" s="16"/>
    </row>
    <row r="48" spans="1:3">
      <c r="A48" s="10"/>
      <c r="B48" s="33"/>
      <c r="C48" s="16"/>
    </row>
    <row r="49" spans="1:3">
      <c r="A49" s="13" t="s">
        <v>48</v>
      </c>
      <c r="B49" s="14">
        <f>SUM(B43:B48)</f>
        <v>5052.5</v>
      </c>
      <c r="C49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30E5-C2CA-420B-8F50-C6355E43C83E}">
  <dimension ref="A1:L44"/>
  <sheetViews>
    <sheetView workbookViewId="0">
      <selection activeCell="B33" sqref="B33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276</v>
      </c>
      <c r="B2" s="2" t="s">
        <v>19</v>
      </c>
      <c r="C2" s="35" t="s">
        <v>210</v>
      </c>
      <c r="D2" s="36" t="s">
        <v>31</v>
      </c>
      <c r="E2" s="36" t="s">
        <v>31</v>
      </c>
      <c r="F2">
        <v>25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6" si="1">H2*F2</f>
        <v>0</v>
      </c>
      <c r="K2" s="7">
        <f t="shared" ref="K2:K16" si="2">I2*F2*1.2</f>
        <v>0</v>
      </c>
      <c r="L2" s="7">
        <f t="shared" ref="L2:L16" si="3">J2+K2</f>
        <v>0</v>
      </c>
    </row>
    <row r="3" spans="1:12">
      <c r="A3" t="s">
        <v>276</v>
      </c>
      <c r="B3" s="2" t="s">
        <v>19</v>
      </c>
      <c r="C3" s="35" t="s">
        <v>213</v>
      </c>
      <c r="D3" s="36" t="s">
        <v>62</v>
      </c>
      <c r="E3" s="36" t="s">
        <v>60</v>
      </c>
      <c r="F3">
        <v>25</v>
      </c>
      <c r="G3" s="31">
        <f t="shared" si="0"/>
        <v>8</v>
      </c>
      <c r="H3">
        <f t="shared" ref="H3:H8" si="4">MIN(G3,8)</f>
        <v>8</v>
      </c>
      <c r="I3" s="7">
        <f t="shared" ref="I3:I8" si="5">IF(MAX(G3-8,0) - 1 &lt; 0, 0, MAX(G3-8,0) - 1)</f>
        <v>0</v>
      </c>
      <c r="J3" s="7">
        <f t="shared" si="1"/>
        <v>200</v>
      </c>
      <c r="K3" s="7">
        <f t="shared" si="2"/>
        <v>0</v>
      </c>
      <c r="L3" s="7">
        <f t="shared" si="3"/>
        <v>200</v>
      </c>
    </row>
    <row r="4" spans="1:12">
      <c r="A4" t="s">
        <v>276</v>
      </c>
      <c r="B4" s="2" t="s">
        <v>19</v>
      </c>
      <c r="C4" s="35" t="s">
        <v>214</v>
      </c>
      <c r="D4" s="36" t="s">
        <v>62</v>
      </c>
      <c r="E4" s="36" t="s">
        <v>60</v>
      </c>
      <c r="F4">
        <v>25</v>
      </c>
      <c r="G4" s="31">
        <f t="shared" si="0"/>
        <v>8</v>
      </c>
      <c r="H4">
        <f t="shared" si="4"/>
        <v>8</v>
      </c>
      <c r="I4" s="7">
        <f t="shared" si="5"/>
        <v>0</v>
      </c>
      <c r="J4" s="7">
        <f t="shared" si="1"/>
        <v>200</v>
      </c>
      <c r="K4" s="7">
        <f t="shared" si="2"/>
        <v>0</v>
      </c>
      <c r="L4" s="7">
        <f t="shared" si="3"/>
        <v>200</v>
      </c>
    </row>
    <row r="5" spans="1:12">
      <c r="A5" t="s">
        <v>276</v>
      </c>
      <c r="B5" s="2" t="s">
        <v>19</v>
      </c>
      <c r="C5" s="35" t="s">
        <v>217</v>
      </c>
      <c r="D5" s="36" t="s">
        <v>62</v>
      </c>
      <c r="E5" s="36" t="s">
        <v>60</v>
      </c>
      <c r="F5">
        <v>25</v>
      </c>
      <c r="G5" s="31">
        <f t="shared" si="0"/>
        <v>8</v>
      </c>
      <c r="H5">
        <f t="shared" si="4"/>
        <v>8</v>
      </c>
      <c r="I5" s="7">
        <f t="shared" si="5"/>
        <v>0</v>
      </c>
      <c r="J5" s="7">
        <f t="shared" si="1"/>
        <v>200</v>
      </c>
      <c r="K5" s="7">
        <f t="shared" si="2"/>
        <v>0</v>
      </c>
      <c r="L5" s="7">
        <f t="shared" si="3"/>
        <v>200</v>
      </c>
    </row>
    <row r="6" spans="1:12">
      <c r="A6" t="s">
        <v>276</v>
      </c>
      <c r="B6" s="2" t="s">
        <v>19</v>
      </c>
      <c r="C6" s="35" t="s">
        <v>219</v>
      </c>
      <c r="D6" s="36" t="s">
        <v>271</v>
      </c>
      <c r="E6" s="36" t="s">
        <v>168</v>
      </c>
      <c r="F6">
        <v>25</v>
      </c>
      <c r="G6" s="31">
        <f t="shared" si="0"/>
        <v>11.85</v>
      </c>
      <c r="H6">
        <f t="shared" si="4"/>
        <v>8</v>
      </c>
      <c r="I6" s="7">
        <f t="shared" si="5"/>
        <v>2.8499999999999996</v>
      </c>
      <c r="J6" s="7">
        <f t="shared" si="1"/>
        <v>200</v>
      </c>
      <c r="K6" s="7">
        <f t="shared" si="2"/>
        <v>85.499999999999986</v>
      </c>
      <c r="L6" s="7">
        <f t="shared" si="3"/>
        <v>285.5</v>
      </c>
    </row>
    <row r="7" spans="1:12">
      <c r="A7" t="s">
        <v>276</v>
      </c>
      <c r="B7" s="2" t="s">
        <v>19</v>
      </c>
      <c r="C7" s="35" t="s">
        <v>220</v>
      </c>
      <c r="D7" s="36" t="s">
        <v>62</v>
      </c>
      <c r="E7" s="36" t="s">
        <v>57</v>
      </c>
      <c r="F7">
        <v>25</v>
      </c>
      <c r="G7" s="31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200</v>
      </c>
      <c r="K7" s="7">
        <f t="shared" si="2"/>
        <v>90</v>
      </c>
      <c r="L7" s="7">
        <f t="shared" si="3"/>
        <v>290</v>
      </c>
    </row>
    <row r="8" spans="1:12">
      <c r="A8" t="s">
        <v>276</v>
      </c>
      <c r="B8" s="2" t="s">
        <v>19</v>
      </c>
      <c r="C8" s="35" t="s">
        <v>221</v>
      </c>
      <c r="D8" s="36" t="s">
        <v>31</v>
      </c>
      <c r="E8" s="36" t="s">
        <v>31</v>
      </c>
      <c r="F8">
        <v>25</v>
      </c>
      <c r="G8" s="31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276</v>
      </c>
      <c r="B9" s="2" t="s">
        <v>19</v>
      </c>
      <c r="C9" s="35" t="s">
        <v>222</v>
      </c>
      <c r="D9" s="36" t="s">
        <v>62</v>
      </c>
      <c r="E9" s="36" t="s">
        <v>57</v>
      </c>
      <c r="F9">
        <v>25</v>
      </c>
      <c r="G9" s="31">
        <f t="shared" si="0"/>
        <v>12</v>
      </c>
      <c r="H9">
        <f>MIN(G9,8)</f>
        <v>8</v>
      </c>
      <c r="I9" s="7">
        <f>IF(MAX(G9-8,0) - 1 &lt; 0, 0, MAX(G9-8,0) - 1)</f>
        <v>3</v>
      </c>
      <c r="J9" s="7">
        <f t="shared" si="1"/>
        <v>200</v>
      </c>
      <c r="K9" s="7">
        <f t="shared" si="2"/>
        <v>90</v>
      </c>
      <c r="L9" s="7">
        <f t="shared" si="3"/>
        <v>290</v>
      </c>
    </row>
    <row r="10" spans="1:12">
      <c r="A10" t="s">
        <v>276</v>
      </c>
      <c r="B10" s="2" t="s">
        <v>19</v>
      </c>
      <c r="C10" s="35" t="s">
        <v>223</v>
      </c>
      <c r="D10" s="36" t="s">
        <v>62</v>
      </c>
      <c r="E10" s="36" t="s">
        <v>54</v>
      </c>
      <c r="F10">
        <v>25</v>
      </c>
      <c r="G10" s="31">
        <f t="shared" si="0"/>
        <v>12.5</v>
      </c>
      <c r="H10">
        <f t="shared" ref="H10:H16" si="6">MIN(G10,8)</f>
        <v>8</v>
      </c>
      <c r="I10" s="7">
        <f t="shared" ref="I10:I16" si="7">IF(MAX(G10-8,0) - 1 &lt; 0, 0, MAX(G10-8,0) - 1)</f>
        <v>3.5</v>
      </c>
      <c r="J10" s="7">
        <f t="shared" si="1"/>
        <v>200</v>
      </c>
      <c r="K10" s="7">
        <f t="shared" si="2"/>
        <v>105</v>
      </c>
      <c r="L10" s="7">
        <f t="shared" si="3"/>
        <v>305</v>
      </c>
    </row>
    <row r="11" spans="1:12">
      <c r="A11" t="s">
        <v>276</v>
      </c>
      <c r="B11" s="2" t="s">
        <v>19</v>
      </c>
      <c r="C11" s="35" t="s">
        <v>225</v>
      </c>
      <c r="D11" s="36" t="s">
        <v>62</v>
      </c>
      <c r="E11" s="36" t="s">
        <v>57</v>
      </c>
      <c r="F11">
        <v>25</v>
      </c>
      <c r="G11" s="31">
        <f t="shared" si="0"/>
        <v>12</v>
      </c>
      <c r="H11">
        <f t="shared" si="6"/>
        <v>8</v>
      </c>
      <c r="I11" s="7">
        <f t="shared" si="7"/>
        <v>3</v>
      </c>
      <c r="J11" s="7">
        <f t="shared" si="1"/>
        <v>200</v>
      </c>
      <c r="K11" s="7">
        <f t="shared" si="2"/>
        <v>90</v>
      </c>
      <c r="L11" s="7">
        <f t="shared" si="3"/>
        <v>290</v>
      </c>
    </row>
    <row r="12" spans="1:12">
      <c r="A12" t="s">
        <v>276</v>
      </c>
      <c r="B12" s="2" t="s">
        <v>19</v>
      </c>
      <c r="C12" s="35" t="s">
        <v>227</v>
      </c>
      <c r="D12" s="36" t="s">
        <v>31</v>
      </c>
      <c r="E12" s="36" t="s">
        <v>31</v>
      </c>
      <c r="F12">
        <v>25</v>
      </c>
      <c r="G12" s="31">
        <f t="shared" si="0"/>
        <v>0</v>
      </c>
      <c r="H12">
        <f t="shared" si="6"/>
        <v>0</v>
      </c>
      <c r="I12" s="7">
        <f t="shared" si="7"/>
        <v>0</v>
      </c>
      <c r="J12" s="7">
        <f t="shared" si="1"/>
        <v>0</v>
      </c>
      <c r="K12" s="7">
        <f t="shared" si="2"/>
        <v>0</v>
      </c>
      <c r="L12" s="7">
        <f t="shared" si="3"/>
        <v>0</v>
      </c>
    </row>
    <row r="13" spans="1:12">
      <c r="A13" t="s">
        <v>276</v>
      </c>
      <c r="B13" s="2" t="s">
        <v>19</v>
      </c>
      <c r="C13" s="35" t="s">
        <v>228</v>
      </c>
      <c r="D13" s="36" t="s">
        <v>274</v>
      </c>
      <c r="E13" s="36" t="s">
        <v>57</v>
      </c>
      <c r="F13">
        <v>25</v>
      </c>
      <c r="G13" s="31">
        <f t="shared" si="0"/>
        <v>11.733333333333333</v>
      </c>
      <c r="H13">
        <f t="shared" si="6"/>
        <v>8</v>
      </c>
      <c r="I13" s="7">
        <f t="shared" si="7"/>
        <v>2.7333333333333325</v>
      </c>
      <c r="J13" s="7">
        <f t="shared" si="1"/>
        <v>200</v>
      </c>
      <c r="K13" s="7">
        <f t="shared" si="2"/>
        <v>81.999999999999972</v>
      </c>
      <c r="L13" s="7">
        <f t="shared" si="3"/>
        <v>282</v>
      </c>
    </row>
    <row r="14" spans="1:12">
      <c r="A14" t="s">
        <v>276</v>
      </c>
      <c r="B14" s="2" t="s">
        <v>19</v>
      </c>
      <c r="C14" s="35" t="s">
        <v>230</v>
      </c>
      <c r="D14" s="36" t="s">
        <v>62</v>
      </c>
      <c r="E14" s="36" t="s">
        <v>57</v>
      </c>
      <c r="F14">
        <v>25</v>
      </c>
      <c r="G14" s="31">
        <f t="shared" si="0"/>
        <v>12</v>
      </c>
      <c r="H14">
        <f t="shared" si="6"/>
        <v>8</v>
      </c>
      <c r="I14" s="7">
        <f t="shared" si="7"/>
        <v>3</v>
      </c>
      <c r="J14" s="7">
        <f t="shared" si="1"/>
        <v>200</v>
      </c>
      <c r="K14" s="7">
        <f t="shared" si="2"/>
        <v>90</v>
      </c>
      <c r="L14" s="7">
        <f t="shared" si="3"/>
        <v>290</v>
      </c>
    </row>
    <row r="15" spans="1:12">
      <c r="A15" t="s">
        <v>276</v>
      </c>
      <c r="B15" s="2" t="s">
        <v>19</v>
      </c>
      <c r="C15" s="35" t="s">
        <v>232</v>
      </c>
      <c r="D15" s="36" t="s">
        <v>62</v>
      </c>
      <c r="E15" s="36" t="s">
        <v>57</v>
      </c>
      <c r="F15">
        <v>25</v>
      </c>
      <c r="G15" s="31">
        <f t="shared" si="0"/>
        <v>12</v>
      </c>
      <c r="H15">
        <f t="shared" si="6"/>
        <v>8</v>
      </c>
      <c r="I15" s="7">
        <f t="shared" si="7"/>
        <v>3</v>
      </c>
      <c r="J15" s="7">
        <f t="shared" si="1"/>
        <v>200</v>
      </c>
      <c r="K15" s="7">
        <f t="shared" si="2"/>
        <v>90</v>
      </c>
      <c r="L15" s="7">
        <f t="shared" si="3"/>
        <v>290</v>
      </c>
    </row>
    <row r="16" spans="1:12">
      <c r="A16" t="s">
        <v>276</v>
      </c>
      <c r="B16" s="2" t="s">
        <v>19</v>
      </c>
      <c r="C16" s="35" t="s">
        <v>235</v>
      </c>
      <c r="D16" s="36" t="s">
        <v>62</v>
      </c>
      <c r="E16" s="36" t="s">
        <v>168</v>
      </c>
      <c r="F16">
        <v>25</v>
      </c>
      <c r="G16" s="31">
        <f t="shared" si="0"/>
        <v>12.166666666666666</v>
      </c>
      <c r="H16">
        <f t="shared" si="6"/>
        <v>8</v>
      </c>
      <c r="I16" s="7">
        <f t="shared" si="7"/>
        <v>3.1666666666666661</v>
      </c>
      <c r="J16" s="7">
        <f t="shared" si="1"/>
        <v>200</v>
      </c>
      <c r="K16" s="7">
        <f t="shared" si="2"/>
        <v>94.999999999999986</v>
      </c>
      <c r="L16" s="7">
        <f t="shared" si="3"/>
        <v>295</v>
      </c>
    </row>
    <row r="17" spans="1:12">
      <c r="A17" t="s">
        <v>276</v>
      </c>
      <c r="B17" s="2" t="s">
        <v>19</v>
      </c>
      <c r="C17" s="35" t="s">
        <v>236</v>
      </c>
      <c r="D17" s="36" t="s">
        <v>62</v>
      </c>
      <c r="E17" s="36" t="s">
        <v>168</v>
      </c>
      <c r="F17">
        <v>25</v>
      </c>
      <c r="G17" s="31">
        <f t="shared" ref="G17" si="8">(E17-D17)*24</f>
        <v>12.166666666666666</v>
      </c>
      <c r="H17">
        <f t="shared" ref="H17" si="9">MIN(G17,8)</f>
        <v>8</v>
      </c>
      <c r="I17" s="7">
        <f t="shared" ref="I17" si="10">IF(MAX(G17-8,0) - 1 &lt; 0, 0, MAX(G17-8,0) - 1)</f>
        <v>3.1666666666666661</v>
      </c>
      <c r="J17" s="7">
        <f t="shared" ref="J17" si="11">H17*F17</f>
        <v>200</v>
      </c>
      <c r="K17" s="7">
        <f t="shared" ref="K17" si="12">I17*F17*1.2</f>
        <v>94.999999999999986</v>
      </c>
      <c r="L17" s="7">
        <f t="shared" ref="L17" si="13">J17+K17</f>
        <v>295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2600</v>
      </c>
      <c r="C24" s="8">
        <f>SUM(K2:K22)</f>
        <v>912.5</v>
      </c>
      <c r="D24" s="8">
        <f>SUM(L2:L22)</f>
        <v>3512.5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Lino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46238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13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2600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912.5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3512.5</v>
      </c>
      <c r="C41" s="16"/>
    </row>
    <row r="42" spans="1:3">
      <c r="A42" s="10" t="s">
        <v>47</v>
      </c>
      <c r="B42" s="14">
        <v>0</v>
      </c>
      <c r="C42" s="16"/>
    </row>
    <row r="43" spans="1:3">
      <c r="A43" s="10" t="s">
        <v>160</v>
      </c>
      <c r="B43" s="14"/>
      <c r="C43" s="16"/>
    </row>
    <row r="44" spans="1:3">
      <c r="A44" s="13" t="s">
        <v>48</v>
      </c>
      <c r="B44" s="14">
        <f>SUM(B41:B42)</f>
        <v>3512.5</v>
      </c>
      <c r="C44" s="16"/>
    </row>
  </sheetData>
  <mergeCells count="1">
    <mergeCell ref="A28:B2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6"/>
  <sheetViews>
    <sheetView workbookViewId="0">
      <selection activeCell="B33" sqref="B33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171</v>
      </c>
      <c r="B2" s="2" t="s">
        <v>19</v>
      </c>
      <c r="C2" s="35" t="s">
        <v>210</v>
      </c>
      <c r="D2" s="36" t="s">
        <v>113</v>
      </c>
      <c r="E2" s="36" t="s">
        <v>282</v>
      </c>
      <c r="F2">
        <v>35</v>
      </c>
      <c r="G2" s="31">
        <f t="shared" ref="G2:G16" si="0">(E2-D2)*24</f>
        <v>9.8333333333333339</v>
      </c>
      <c r="H2">
        <f>MIN(G2,8)</f>
        <v>8</v>
      </c>
      <c r="I2" s="7">
        <f>IF(MAX(G2-8,0) - 1 &lt; 0, 0, MAX(G2-8,0) - 1)</f>
        <v>0.83333333333333393</v>
      </c>
      <c r="J2" s="7">
        <f t="shared" ref="J2:J8" si="1">H2*F2</f>
        <v>280</v>
      </c>
      <c r="K2" s="7">
        <f t="shared" ref="K2:K8" si="2">I2*F2*1.2</f>
        <v>35.000000000000021</v>
      </c>
      <c r="L2" s="7">
        <f t="shared" ref="L2:L8" si="3">J2+K2</f>
        <v>315</v>
      </c>
    </row>
    <row r="3" spans="1:12">
      <c r="A3" t="s">
        <v>171</v>
      </c>
      <c r="B3" s="2" t="s">
        <v>19</v>
      </c>
      <c r="C3" s="35" t="s">
        <v>213</v>
      </c>
      <c r="D3" s="36" t="s">
        <v>113</v>
      </c>
      <c r="E3" s="36" t="s">
        <v>283</v>
      </c>
      <c r="F3">
        <v>35</v>
      </c>
      <c r="G3" s="31">
        <f t="shared" si="0"/>
        <v>8.75</v>
      </c>
      <c r="H3">
        <f t="shared" ref="H3:H8" si="4">MIN(G3,8)</f>
        <v>8</v>
      </c>
      <c r="I3" s="7">
        <f t="shared" ref="I3:I8" si="5">IF(MAX(G3-8,0) - 1 &lt; 0, 0, MAX(G3-8,0) - 1)</f>
        <v>0</v>
      </c>
      <c r="J3" s="7">
        <f t="shared" si="1"/>
        <v>280</v>
      </c>
      <c r="K3" s="7">
        <f t="shared" si="2"/>
        <v>0</v>
      </c>
      <c r="L3" s="7">
        <f t="shared" si="3"/>
        <v>280</v>
      </c>
    </row>
    <row r="4" spans="1:12">
      <c r="A4" t="s">
        <v>171</v>
      </c>
      <c r="B4" s="2" t="s">
        <v>19</v>
      </c>
      <c r="C4" s="35" t="s">
        <v>214</v>
      </c>
      <c r="D4" s="36" t="s">
        <v>113</v>
      </c>
      <c r="E4" s="36" t="s">
        <v>284</v>
      </c>
      <c r="F4">
        <v>35</v>
      </c>
      <c r="G4" s="31">
        <f t="shared" si="0"/>
        <v>8.3333333333333339</v>
      </c>
      <c r="H4">
        <f t="shared" si="4"/>
        <v>8</v>
      </c>
      <c r="I4" s="7">
        <f t="shared" si="5"/>
        <v>0</v>
      </c>
      <c r="J4" s="7">
        <f t="shared" si="1"/>
        <v>280</v>
      </c>
      <c r="K4" s="7">
        <f t="shared" si="2"/>
        <v>0</v>
      </c>
      <c r="L4" s="7">
        <f t="shared" si="3"/>
        <v>280</v>
      </c>
    </row>
    <row r="5" spans="1:12">
      <c r="A5" t="s">
        <v>171</v>
      </c>
      <c r="B5" s="2" t="s">
        <v>19</v>
      </c>
      <c r="C5" s="35" t="s">
        <v>217</v>
      </c>
      <c r="D5" s="36" t="s">
        <v>31</v>
      </c>
      <c r="E5" s="36" t="s">
        <v>31</v>
      </c>
      <c r="F5">
        <v>35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171</v>
      </c>
      <c r="B6" s="2" t="s">
        <v>19</v>
      </c>
      <c r="C6" s="35" t="s">
        <v>219</v>
      </c>
      <c r="D6" s="36" t="s">
        <v>113</v>
      </c>
      <c r="E6" s="36" t="s">
        <v>286</v>
      </c>
      <c r="F6">
        <v>35</v>
      </c>
      <c r="G6" s="31">
        <f t="shared" si="0"/>
        <v>5.9166666666666679</v>
      </c>
      <c r="H6">
        <f t="shared" si="4"/>
        <v>5.9166666666666679</v>
      </c>
      <c r="I6" s="7">
        <f t="shared" si="5"/>
        <v>0</v>
      </c>
      <c r="J6" s="7">
        <f t="shared" si="1"/>
        <v>207.08333333333337</v>
      </c>
      <c r="K6" s="7">
        <f t="shared" si="2"/>
        <v>0</v>
      </c>
      <c r="L6" s="7">
        <f t="shared" si="3"/>
        <v>207.08333333333337</v>
      </c>
    </row>
    <row r="7" spans="1:12">
      <c r="A7" t="s">
        <v>171</v>
      </c>
      <c r="B7" s="2" t="s">
        <v>19</v>
      </c>
      <c r="C7" s="35" t="s">
        <v>220</v>
      </c>
      <c r="D7" s="36" t="s">
        <v>31</v>
      </c>
      <c r="E7" s="36" t="s">
        <v>31</v>
      </c>
      <c r="F7">
        <v>35</v>
      </c>
      <c r="G7" s="31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171</v>
      </c>
      <c r="B8" s="2" t="s">
        <v>19</v>
      </c>
      <c r="C8" s="35" t="s">
        <v>221</v>
      </c>
      <c r="D8" s="36" t="s">
        <v>113</v>
      </c>
      <c r="E8" s="36" t="s">
        <v>287</v>
      </c>
      <c r="F8">
        <v>35</v>
      </c>
      <c r="G8" s="31">
        <f t="shared" si="0"/>
        <v>8.0833333333333321</v>
      </c>
      <c r="H8">
        <f t="shared" si="4"/>
        <v>8</v>
      </c>
      <c r="I8" s="7">
        <f t="shared" si="5"/>
        <v>0</v>
      </c>
      <c r="J8" s="7">
        <f t="shared" si="1"/>
        <v>280</v>
      </c>
      <c r="K8" s="7">
        <f t="shared" si="2"/>
        <v>0</v>
      </c>
      <c r="L8" s="7">
        <f t="shared" si="3"/>
        <v>280</v>
      </c>
    </row>
    <row r="9" spans="1:12">
      <c r="A9" t="s">
        <v>171</v>
      </c>
      <c r="B9" s="2" t="s">
        <v>19</v>
      </c>
      <c r="C9" s="35" t="s">
        <v>222</v>
      </c>
      <c r="D9" s="36" t="s">
        <v>113</v>
      </c>
      <c r="E9" s="36" t="s">
        <v>288</v>
      </c>
      <c r="F9">
        <v>35</v>
      </c>
      <c r="G9" s="31">
        <f t="shared" si="0"/>
        <v>5.3333333333333339</v>
      </c>
      <c r="H9">
        <f>MIN(G9,8)</f>
        <v>5.3333333333333339</v>
      </c>
      <c r="I9" s="7">
        <f>IF(MAX(G9-8,0) - 1 &lt; 0, 0, MAX(G9-8,0) - 1)</f>
        <v>0</v>
      </c>
      <c r="J9" s="7">
        <f t="shared" ref="J9:J15" si="6">H9*F9</f>
        <v>186.66666666666669</v>
      </c>
      <c r="K9" s="7">
        <f t="shared" ref="K9:K15" si="7">I9*F9*1.2</f>
        <v>0</v>
      </c>
      <c r="L9" s="7">
        <f t="shared" ref="L9:L15" si="8">J9+K9</f>
        <v>186.66666666666669</v>
      </c>
    </row>
    <row r="10" spans="1:12">
      <c r="A10" t="s">
        <v>171</v>
      </c>
      <c r="B10" s="2" t="s">
        <v>19</v>
      </c>
      <c r="C10" s="35" t="s">
        <v>223</v>
      </c>
      <c r="D10" s="36" t="s">
        <v>113</v>
      </c>
      <c r="E10" s="36" t="s">
        <v>294</v>
      </c>
      <c r="F10">
        <v>35</v>
      </c>
      <c r="G10" s="31">
        <f t="shared" si="0"/>
        <v>9.7500000000000018</v>
      </c>
      <c r="H10">
        <f t="shared" ref="H10:H16" si="9">MIN(G10,8)</f>
        <v>8</v>
      </c>
      <c r="I10" s="7">
        <f t="shared" ref="I10:I15" si="10">IF(MAX(G10-8,0) - 1 &lt; 0, 0, MAX(G10-8,0) - 1)</f>
        <v>0.75000000000000178</v>
      </c>
      <c r="J10" s="7">
        <f t="shared" si="6"/>
        <v>280</v>
      </c>
      <c r="K10" s="7">
        <f t="shared" si="7"/>
        <v>31.500000000000075</v>
      </c>
      <c r="L10" s="7">
        <f t="shared" si="8"/>
        <v>311.50000000000006</v>
      </c>
    </row>
    <row r="11" spans="1:12">
      <c r="A11" t="s">
        <v>171</v>
      </c>
      <c r="B11" s="2" t="s">
        <v>19</v>
      </c>
      <c r="C11" s="35" t="s">
        <v>225</v>
      </c>
      <c r="D11" s="36" t="s">
        <v>113</v>
      </c>
      <c r="E11" s="36" t="s">
        <v>290</v>
      </c>
      <c r="F11">
        <v>35</v>
      </c>
      <c r="G11" s="31">
        <f t="shared" si="0"/>
        <v>4.6666666666666679</v>
      </c>
      <c r="H11">
        <f t="shared" si="9"/>
        <v>4.6666666666666679</v>
      </c>
      <c r="I11" s="7">
        <f t="shared" si="10"/>
        <v>0</v>
      </c>
      <c r="J11" s="7">
        <f t="shared" si="6"/>
        <v>163.33333333333337</v>
      </c>
      <c r="K11" s="7">
        <f t="shared" si="7"/>
        <v>0</v>
      </c>
      <c r="L11" s="7">
        <f t="shared" si="8"/>
        <v>163.33333333333337</v>
      </c>
    </row>
    <row r="12" spans="1:12">
      <c r="A12" t="s">
        <v>171</v>
      </c>
      <c r="B12" s="2" t="s">
        <v>19</v>
      </c>
      <c r="C12" s="35" t="s">
        <v>227</v>
      </c>
      <c r="D12" s="36" t="s">
        <v>31</v>
      </c>
      <c r="E12" s="36" t="s">
        <v>31</v>
      </c>
      <c r="F12">
        <v>35</v>
      </c>
      <c r="G12" s="31">
        <f t="shared" si="0"/>
        <v>0</v>
      </c>
      <c r="H12">
        <f t="shared" si="9"/>
        <v>0</v>
      </c>
      <c r="I12" s="7">
        <f t="shared" si="10"/>
        <v>0</v>
      </c>
      <c r="J12" s="7">
        <f t="shared" si="6"/>
        <v>0</v>
      </c>
      <c r="K12" s="7">
        <f t="shared" si="7"/>
        <v>0</v>
      </c>
      <c r="L12" s="7">
        <f t="shared" si="8"/>
        <v>0</v>
      </c>
    </row>
    <row r="13" spans="1:12">
      <c r="A13" t="s">
        <v>171</v>
      </c>
      <c r="B13" s="2" t="s">
        <v>19</v>
      </c>
      <c r="C13" s="35" t="s">
        <v>228</v>
      </c>
      <c r="D13" s="36" t="s">
        <v>260</v>
      </c>
      <c r="E13" s="36" t="s">
        <v>202</v>
      </c>
      <c r="F13">
        <v>35</v>
      </c>
      <c r="G13" s="31">
        <f t="shared" si="0"/>
        <v>8.35</v>
      </c>
      <c r="H13">
        <f t="shared" si="9"/>
        <v>8</v>
      </c>
      <c r="I13" s="7">
        <f t="shared" si="10"/>
        <v>0</v>
      </c>
      <c r="J13" s="7">
        <f t="shared" si="6"/>
        <v>280</v>
      </c>
      <c r="K13" s="7">
        <f t="shared" si="7"/>
        <v>0</v>
      </c>
      <c r="L13" s="7">
        <f t="shared" si="8"/>
        <v>280</v>
      </c>
    </row>
    <row r="14" spans="1:12">
      <c r="A14" t="s">
        <v>171</v>
      </c>
      <c r="B14" s="2" t="s">
        <v>19</v>
      </c>
      <c r="C14" s="35" t="s">
        <v>230</v>
      </c>
      <c r="D14" s="36" t="s">
        <v>62</v>
      </c>
      <c r="E14" s="36" t="s">
        <v>202</v>
      </c>
      <c r="F14">
        <v>35</v>
      </c>
      <c r="G14" s="31">
        <f t="shared" si="0"/>
        <v>9</v>
      </c>
      <c r="H14">
        <f t="shared" si="9"/>
        <v>8</v>
      </c>
      <c r="I14" s="7">
        <f t="shared" si="10"/>
        <v>0</v>
      </c>
      <c r="J14" s="7">
        <f t="shared" si="6"/>
        <v>280</v>
      </c>
      <c r="K14" s="7">
        <f t="shared" si="7"/>
        <v>0</v>
      </c>
      <c r="L14" s="7">
        <f t="shared" si="8"/>
        <v>280</v>
      </c>
    </row>
    <row r="15" spans="1:12">
      <c r="A15" t="s">
        <v>171</v>
      </c>
      <c r="B15" s="2" t="s">
        <v>19</v>
      </c>
      <c r="C15" s="35" t="s">
        <v>232</v>
      </c>
      <c r="D15" s="36" t="s">
        <v>113</v>
      </c>
      <c r="E15" s="36" t="s">
        <v>295</v>
      </c>
      <c r="F15">
        <v>35</v>
      </c>
      <c r="G15" s="31">
        <f t="shared" si="0"/>
        <v>6.3333333333333339</v>
      </c>
      <c r="H15">
        <f t="shared" si="9"/>
        <v>6.3333333333333339</v>
      </c>
      <c r="I15" s="7">
        <f t="shared" si="10"/>
        <v>0</v>
      </c>
      <c r="J15" s="7">
        <f t="shared" si="6"/>
        <v>221.66666666666669</v>
      </c>
      <c r="K15" s="7">
        <f t="shared" si="7"/>
        <v>0</v>
      </c>
      <c r="L15" s="7">
        <f t="shared" si="8"/>
        <v>221.66666666666669</v>
      </c>
    </row>
    <row r="16" spans="1:12">
      <c r="A16" t="s">
        <v>171</v>
      </c>
      <c r="B16" s="2" t="s">
        <v>19</v>
      </c>
      <c r="C16" s="35" t="s">
        <v>235</v>
      </c>
      <c r="D16" s="36" t="s">
        <v>31</v>
      </c>
      <c r="E16" s="36" t="s">
        <v>31</v>
      </c>
      <c r="F16">
        <v>35</v>
      </c>
      <c r="G16" s="31">
        <f t="shared" si="0"/>
        <v>0</v>
      </c>
      <c r="H16">
        <f t="shared" si="9"/>
        <v>0</v>
      </c>
      <c r="I16" s="7">
        <f t="shared" ref="I16" si="11">IF(MAX(G16-8,0) - 1 &lt; 0, 0, MAX(G16-8,0) - 1)</f>
        <v>0</v>
      </c>
      <c r="J16" s="7">
        <f t="shared" ref="J16" si="12">H16*F16</f>
        <v>0</v>
      </c>
      <c r="K16" s="7">
        <f t="shared" ref="K16" si="13">I16*F16*1.2</f>
        <v>0</v>
      </c>
      <c r="L16" s="7">
        <f t="shared" ref="L16" si="14">J16+K16</f>
        <v>0</v>
      </c>
    </row>
    <row r="17" spans="1:12">
      <c r="A17" t="s">
        <v>171</v>
      </c>
      <c r="B17" s="2" t="s">
        <v>19</v>
      </c>
      <c r="C17" s="35" t="s">
        <v>236</v>
      </c>
      <c r="D17" s="36" t="s">
        <v>31</v>
      </c>
      <c r="E17" s="36" t="s">
        <v>31</v>
      </c>
      <c r="F17">
        <v>35</v>
      </c>
      <c r="G17" s="31">
        <f t="shared" ref="G17" si="15">(E17-D17)*24</f>
        <v>0</v>
      </c>
      <c r="H17">
        <f t="shared" ref="H17" si="16">MIN(G17,8)</f>
        <v>0</v>
      </c>
      <c r="I17" s="7">
        <f t="shared" ref="I17" si="17">IF(MAX(G17-8,0) - 1 &lt; 0, 0, MAX(G17-8,0) - 1)</f>
        <v>0</v>
      </c>
      <c r="J17" s="7">
        <f t="shared" ref="J17" si="18">H17*F17</f>
        <v>0</v>
      </c>
      <c r="K17" s="7">
        <f t="shared" ref="K17" si="19">I17*F17*1.2</f>
        <v>0</v>
      </c>
      <c r="L17" s="7">
        <f t="shared" ref="L17" si="20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2738.75</v>
      </c>
      <c r="C24" s="8">
        <f>SUM(K2:K22)</f>
        <v>66.500000000000099</v>
      </c>
      <c r="D24" s="8">
        <f>SUM(L2:L22)</f>
        <v>2805.25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Nino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46238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11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2738.75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66.500000000000099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2805.25</v>
      </c>
      <c r="C41" s="16"/>
    </row>
    <row r="42" spans="1:3">
      <c r="A42" s="10" t="s">
        <v>47</v>
      </c>
      <c r="B42" s="14"/>
      <c r="C42" s="16"/>
    </row>
    <row r="43" spans="1:3">
      <c r="A43" s="10" t="s">
        <v>172</v>
      </c>
      <c r="B43" s="14">
        <v>-500</v>
      </c>
      <c r="C43" s="16"/>
    </row>
    <row r="44" spans="1:3">
      <c r="A44" s="10" t="s">
        <v>172</v>
      </c>
      <c r="B44" s="14">
        <v>-500</v>
      </c>
      <c r="C44" s="16"/>
    </row>
    <row r="45" spans="1:3">
      <c r="A45" s="10" t="s">
        <v>281</v>
      </c>
      <c r="B45" s="14">
        <v>-375</v>
      </c>
      <c r="C45" s="16"/>
    </row>
    <row r="46" spans="1:3">
      <c r="A46" s="13" t="s">
        <v>48</v>
      </c>
      <c r="B46" s="14">
        <f>SUM(B41:B44)</f>
        <v>1805.25</v>
      </c>
      <c r="C46" s="16"/>
    </row>
  </sheetData>
  <mergeCells count="1">
    <mergeCell ref="A28:B28"/>
  </mergeCells>
  <phoneticPr fontId="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9"/>
  <sheetViews>
    <sheetView workbookViewId="0">
      <selection activeCell="C32" sqref="C32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167</v>
      </c>
      <c r="B2" s="2" t="s">
        <v>82</v>
      </c>
      <c r="C2" s="35" t="s">
        <v>210</v>
      </c>
      <c r="D2" s="23" t="s">
        <v>113</v>
      </c>
      <c r="E2" s="23" t="s">
        <v>282</v>
      </c>
      <c r="F2">
        <v>35</v>
      </c>
      <c r="G2">
        <f t="shared" ref="G2:G8" si="0">(E2-D2)*24</f>
        <v>9.8333333333333339</v>
      </c>
      <c r="H2">
        <f>MIN(G2,8)</f>
        <v>8</v>
      </c>
      <c r="I2" s="7">
        <f>IF(MAX(G2-8,0) - 1 &lt; 0, 0, MAX(G2-8,0) - 1)</f>
        <v>0.83333333333333393</v>
      </c>
      <c r="J2">
        <f t="shared" ref="J2:J8" si="1">H2*F2</f>
        <v>280</v>
      </c>
      <c r="K2">
        <f t="shared" ref="K2:K8" si="2">I2*F2*1.2</f>
        <v>35.000000000000021</v>
      </c>
      <c r="L2">
        <f t="shared" ref="L2:L8" si="3">J2+K2</f>
        <v>315</v>
      </c>
    </row>
    <row r="3" spans="1:12">
      <c r="A3" t="s">
        <v>167</v>
      </c>
      <c r="B3" s="2" t="s">
        <v>82</v>
      </c>
      <c r="C3" s="35" t="s">
        <v>213</v>
      </c>
      <c r="D3" s="23" t="s">
        <v>113</v>
      </c>
      <c r="E3" s="23" t="s">
        <v>283</v>
      </c>
      <c r="F3">
        <v>35</v>
      </c>
      <c r="G3">
        <f t="shared" si="0"/>
        <v>8.75</v>
      </c>
      <c r="H3">
        <f t="shared" ref="H3:H8" si="4">MIN(G3,8)</f>
        <v>8</v>
      </c>
      <c r="I3" s="7">
        <f t="shared" ref="I3:I8" si="5">IF(MAX(G3-8,0) - 1 &lt; 0, 0, MAX(G3-8,0) - 1)</f>
        <v>0</v>
      </c>
      <c r="J3">
        <f t="shared" si="1"/>
        <v>280</v>
      </c>
      <c r="K3">
        <f t="shared" si="2"/>
        <v>0</v>
      </c>
      <c r="L3">
        <f t="shared" si="3"/>
        <v>280</v>
      </c>
    </row>
    <row r="4" spans="1:12">
      <c r="A4" t="s">
        <v>167</v>
      </c>
      <c r="B4" s="2" t="s">
        <v>82</v>
      </c>
      <c r="C4" s="35" t="s">
        <v>214</v>
      </c>
      <c r="D4" s="23" t="s">
        <v>113</v>
      </c>
      <c r="E4" s="23" t="s">
        <v>284</v>
      </c>
      <c r="F4">
        <v>35</v>
      </c>
      <c r="G4">
        <f t="shared" si="0"/>
        <v>8.3333333333333339</v>
      </c>
      <c r="H4">
        <f t="shared" si="4"/>
        <v>8</v>
      </c>
      <c r="I4" s="7">
        <f t="shared" si="5"/>
        <v>0</v>
      </c>
      <c r="J4">
        <f t="shared" si="1"/>
        <v>280</v>
      </c>
      <c r="K4">
        <f t="shared" si="2"/>
        <v>0</v>
      </c>
      <c r="L4">
        <f t="shared" si="3"/>
        <v>280</v>
      </c>
    </row>
    <row r="5" spans="1:12">
      <c r="A5" t="s">
        <v>167</v>
      </c>
      <c r="B5" s="2" t="s">
        <v>82</v>
      </c>
      <c r="C5" s="35" t="s">
        <v>217</v>
      </c>
      <c r="D5" s="23" t="s">
        <v>113</v>
      </c>
      <c r="E5" s="23" t="s">
        <v>285</v>
      </c>
      <c r="F5">
        <v>35</v>
      </c>
      <c r="G5">
        <f t="shared" si="0"/>
        <v>4.9666666666666668</v>
      </c>
      <c r="H5">
        <f t="shared" si="4"/>
        <v>4.9666666666666668</v>
      </c>
      <c r="I5" s="7">
        <f t="shared" si="5"/>
        <v>0</v>
      </c>
      <c r="J5">
        <f t="shared" si="1"/>
        <v>173.83333333333334</v>
      </c>
      <c r="K5">
        <f t="shared" si="2"/>
        <v>0</v>
      </c>
      <c r="L5">
        <f t="shared" si="3"/>
        <v>173.83333333333334</v>
      </c>
    </row>
    <row r="6" spans="1:12">
      <c r="A6" t="s">
        <v>167</v>
      </c>
      <c r="B6" s="2" t="s">
        <v>82</v>
      </c>
      <c r="C6" s="35" t="s">
        <v>219</v>
      </c>
      <c r="D6" s="23" t="s">
        <v>113</v>
      </c>
      <c r="E6" s="23" t="s">
        <v>286</v>
      </c>
      <c r="F6">
        <v>35</v>
      </c>
      <c r="G6">
        <f t="shared" si="0"/>
        <v>5.9166666666666679</v>
      </c>
      <c r="H6">
        <f t="shared" si="4"/>
        <v>5.9166666666666679</v>
      </c>
      <c r="I6" s="7">
        <f t="shared" si="5"/>
        <v>0</v>
      </c>
      <c r="J6">
        <f t="shared" si="1"/>
        <v>207.08333333333337</v>
      </c>
      <c r="K6">
        <f t="shared" si="2"/>
        <v>0</v>
      </c>
      <c r="L6">
        <f t="shared" si="3"/>
        <v>207.08333333333337</v>
      </c>
    </row>
    <row r="7" spans="1:12">
      <c r="A7" t="s">
        <v>167</v>
      </c>
      <c r="B7" s="2" t="s">
        <v>82</v>
      </c>
      <c r="C7" s="35" t="s">
        <v>220</v>
      </c>
      <c r="D7" s="23" t="s">
        <v>206</v>
      </c>
      <c r="E7" s="23" t="s">
        <v>205</v>
      </c>
      <c r="F7">
        <v>35</v>
      </c>
      <c r="G7">
        <f t="shared" si="0"/>
        <v>5.6666666666666679</v>
      </c>
      <c r="H7">
        <f t="shared" si="4"/>
        <v>5.6666666666666679</v>
      </c>
      <c r="I7" s="7">
        <f t="shared" si="5"/>
        <v>0</v>
      </c>
      <c r="J7">
        <f t="shared" si="1"/>
        <v>198.33333333333337</v>
      </c>
      <c r="K7">
        <f t="shared" si="2"/>
        <v>0</v>
      </c>
      <c r="L7">
        <f t="shared" si="3"/>
        <v>198.33333333333337</v>
      </c>
    </row>
    <row r="8" spans="1:12">
      <c r="A8" t="s">
        <v>167</v>
      </c>
      <c r="B8" s="2" t="s">
        <v>82</v>
      </c>
      <c r="C8" s="35" t="s">
        <v>221</v>
      </c>
      <c r="D8" s="23" t="s">
        <v>113</v>
      </c>
      <c r="E8" s="23" t="s">
        <v>287</v>
      </c>
      <c r="F8">
        <v>35</v>
      </c>
      <c r="G8">
        <f t="shared" si="0"/>
        <v>8.0833333333333321</v>
      </c>
      <c r="H8">
        <f t="shared" si="4"/>
        <v>8</v>
      </c>
      <c r="I8" s="7">
        <f t="shared" si="5"/>
        <v>0</v>
      </c>
      <c r="J8">
        <f t="shared" si="1"/>
        <v>280</v>
      </c>
      <c r="K8">
        <f t="shared" si="2"/>
        <v>0</v>
      </c>
      <c r="L8">
        <f t="shared" si="3"/>
        <v>280</v>
      </c>
    </row>
    <row r="9" spans="1:12">
      <c r="A9" t="s">
        <v>167</v>
      </c>
      <c r="B9" s="2" t="s">
        <v>82</v>
      </c>
      <c r="C9" s="35" t="s">
        <v>222</v>
      </c>
      <c r="D9" s="23" t="s">
        <v>113</v>
      </c>
      <c r="E9" s="23" t="s">
        <v>288</v>
      </c>
      <c r="F9">
        <v>35</v>
      </c>
      <c r="G9">
        <f t="shared" ref="G9:G15" si="6">(E9-D9)*24</f>
        <v>5.3333333333333339</v>
      </c>
      <c r="H9">
        <f>MIN(G9,8)</f>
        <v>5.3333333333333339</v>
      </c>
      <c r="I9" s="7">
        <f>IF(MAX(G9-8,0) - 1 &lt; 0, 0, MAX(G9-8,0) - 1)</f>
        <v>0</v>
      </c>
      <c r="J9">
        <f t="shared" ref="J9:J15" si="7">H9*F9</f>
        <v>186.66666666666669</v>
      </c>
      <c r="K9">
        <f t="shared" ref="K9:K15" si="8">I9*F9*1.2</f>
        <v>0</v>
      </c>
      <c r="L9">
        <f t="shared" ref="L9:L15" si="9">J9+K9</f>
        <v>186.66666666666669</v>
      </c>
    </row>
    <row r="10" spans="1:12">
      <c r="A10" t="s">
        <v>167</v>
      </c>
      <c r="B10" s="2" t="s">
        <v>82</v>
      </c>
      <c r="C10" s="35" t="s">
        <v>223</v>
      </c>
      <c r="D10" s="23" t="s">
        <v>113</v>
      </c>
      <c r="E10" s="23" t="s">
        <v>289</v>
      </c>
      <c r="F10">
        <v>35</v>
      </c>
      <c r="G10">
        <f t="shared" si="6"/>
        <v>9.9</v>
      </c>
      <c r="H10">
        <f t="shared" ref="H10:H15" si="10">MIN(G10,8)</f>
        <v>8</v>
      </c>
      <c r="I10" s="7">
        <f t="shared" ref="I10:I15" si="11">IF(MAX(G10-8,0) - 1 &lt; 0, 0, MAX(G10-8,0) - 1)</f>
        <v>0.90000000000000036</v>
      </c>
      <c r="J10">
        <f t="shared" si="7"/>
        <v>280</v>
      </c>
      <c r="K10">
        <f t="shared" si="8"/>
        <v>37.800000000000018</v>
      </c>
      <c r="L10">
        <f t="shared" si="9"/>
        <v>317.8</v>
      </c>
    </row>
    <row r="11" spans="1:12">
      <c r="A11" t="s">
        <v>167</v>
      </c>
      <c r="B11" s="2" t="s">
        <v>82</v>
      </c>
      <c r="C11" s="35" t="s">
        <v>225</v>
      </c>
      <c r="D11" s="23" t="s">
        <v>113</v>
      </c>
      <c r="E11" s="23" t="s">
        <v>290</v>
      </c>
      <c r="F11">
        <v>35</v>
      </c>
      <c r="G11">
        <f t="shared" si="6"/>
        <v>4.6666666666666679</v>
      </c>
      <c r="H11">
        <f t="shared" si="10"/>
        <v>4.6666666666666679</v>
      </c>
      <c r="I11" s="7">
        <f t="shared" si="11"/>
        <v>0</v>
      </c>
      <c r="J11">
        <f t="shared" si="7"/>
        <v>163.33333333333337</v>
      </c>
      <c r="K11">
        <f t="shared" si="8"/>
        <v>0</v>
      </c>
      <c r="L11">
        <f t="shared" si="9"/>
        <v>163.33333333333337</v>
      </c>
    </row>
    <row r="12" spans="1:12">
      <c r="A12" t="s">
        <v>167</v>
      </c>
      <c r="B12" s="2" t="s">
        <v>82</v>
      </c>
      <c r="C12" s="35" t="s">
        <v>227</v>
      </c>
      <c r="D12" s="23" t="s">
        <v>31</v>
      </c>
      <c r="E12" s="23" t="s">
        <v>31</v>
      </c>
      <c r="F12">
        <v>35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167</v>
      </c>
      <c r="B13" s="2" t="s">
        <v>82</v>
      </c>
      <c r="C13" s="35" t="s">
        <v>228</v>
      </c>
      <c r="D13" s="23" t="s">
        <v>113</v>
      </c>
      <c r="E13" s="23" t="s">
        <v>83</v>
      </c>
      <c r="F13">
        <v>35</v>
      </c>
      <c r="G13">
        <f t="shared" si="6"/>
        <v>11</v>
      </c>
      <c r="H13">
        <f t="shared" si="10"/>
        <v>8</v>
      </c>
      <c r="I13" s="7">
        <f t="shared" si="11"/>
        <v>2</v>
      </c>
      <c r="J13">
        <f t="shared" si="7"/>
        <v>280</v>
      </c>
      <c r="K13">
        <f t="shared" si="8"/>
        <v>84</v>
      </c>
      <c r="L13">
        <f t="shared" si="9"/>
        <v>364</v>
      </c>
    </row>
    <row r="14" spans="1:12">
      <c r="A14" t="s">
        <v>167</v>
      </c>
      <c r="B14" s="2" t="s">
        <v>82</v>
      </c>
      <c r="C14" s="35" t="s">
        <v>230</v>
      </c>
      <c r="D14" s="23" t="s">
        <v>113</v>
      </c>
      <c r="E14" s="23" t="s">
        <v>291</v>
      </c>
      <c r="F14">
        <v>35</v>
      </c>
      <c r="G14">
        <f t="shared" si="6"/>
        <v>6.6666666666666679</v>
      </c>
      <c r="H14">
        <f t="shared" si="10"/>
        <v>6.6666666666666679</v>
      </c>
      <c r="I14" s="7">
        <f t="shared" si="11"/>
        <v>0</v>
      </c>
      <c r="J14">
        <f t="shared" si="7"/>
        <v>233.33333333333337</v>
      </c>
      <c r="K14">
        <f t="shared" si="8"/>
        <v>0</v>
      </c>
      <c r="L14">
        <f t="shared" si="9"/>
        <v>233.33333333333337</v>
      </c>
    </row>
    <row r="15" spans="1:12">
      <c r="A15" t="s">
        <v>167</v>
      </c>
      <c r="B15" s="2" t="s">
        <v>82</v>
      </c>
      <c r="C15" s="35" t="s">
        <v>232</v>
      </c>
      <c r="D15" s="23" t="s">
        <v>113</v>
      </c>
      <c r="E15" s="23" t="s">
        <v>292</v>
      </c>
      <c r="F15">
        <v>35</v>
      </c>
      <c r="G15">
        <f t="shared" si="6"/>
        <v>6.5</v>
      </c>
      <c r="H15">
        <f t="shared" si="10"/>
        <v>6.5</v>
      </c>
      <c r="I15" s="7">
        <f t="shared" si="11"/>
        <v>0</v>
      </c>
      <c r="J15">
        <f t="shared" si="7"/>
        <v>227.5</v>
      </c>
      <c r="K15">
        <f t="shared" si="8"/>
        <v>0</v>
      </c>
      <c r="L15">
        <f t="shared" si="9"/>
        <v>227.5</v>
      </c>
    </row>
    <row r="16" spans="1:12">
      <c r="A16" t="s">
        <v>167</v>
      </c>
      <c r="B16" s="2" t="s">
        <v>82</v>
      </c>
      <c r="C16" s="35" t="s">
        <v>235</v>
      </c>
      <c r="D16" s="23" t="s">
        <v>113</v>
      </c>
      <c r="E16" s="23" t="s">
        <v>207</v>
      </c>
      <c r="F16">
        <v>35</v>
      </c>
      <c r="G16">
        <f t="shared" ref="G16" si="12">(E16-D16)*24</f>
        <v>7.1666666666666661</v>
      </c>
      <c r="H16">
        <f t="shared" ref="H16" si="13">MIN(G16,8)</f>
        <v>7.1666666666666661</v>
      </c>
      <c r="I16" s="7">
        <f t="shared" ref="I16" si="14">IF(MAX(G16-8,0) - 1 &lt; 0, 0, MAX(G16-8,0) - 1)</f>
        <v>0</v>
      </c>
      <c r="J16">
        <f t="shared" ref="J16" si="15">H16*F16</f>
        <v>250.83333333333331</v>
      </c>
      <c r="K16">
        <f t="shared" ref="K16" si="16">I16*F16*1.2</f>
        <v>0</v>
      </c>
      <c r="L16">
        <f>J16+K16</f>
        <v>250.83333333333331</v>
      </c>
    </row>
    <row r="17" spans="1:12">
      <c r="A17" t="s">
        <v>167</v>
      </c>
      <c r="B17" s="2" t="s">
        <v>82</v>
      </c>
      <c r="C17" s="35" t="s">
        <v>236</v>
      </c>
      <c r="D17" s="23" t="s">
        <v>113</v>
      </c>
      <c r="E17" s="23" t="s">
        <v>293</v>
      </c>
      <c r="F17">
        <v>35</v>
      </c>
      <c r="G17">
        <f t="shared" ref="G17" si="17">(E17-D17)*24</f>
        <v>7.0333333333333332</v>
      </c>
      <c r="H17">
        <f t="shared" ref="H17" si="18">MIN(G17,8)</f>
        <v>7.0333333333333332</v>
      </c>
      <c r="I17" s="7">
        <f t="shared" ref="I17" si="19">IF(MAX(G17-8,0) - 1 &lt; 0, 0, MAX(G17-8,0) - 1)</f>
        <v>0</v>
      </c>
      <c r="J17">
        <f t="shared" ref="J17" si="20">H17*F17</f>
        <v>246.16666666666666</v>
      </c>
      <c r="K17">
        <f t="shared" ref="K17" si="21">I17*F17*1.2</f>
        <v>0</v>
      </c>
      <c r="L17">
        <f>J17+K17</f>
        <v>246.16666666666666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33</v>
      </c>
      <c r="B23" s="8">
        <f>SUM(J2:J21)</f>
        <v>3567.0833333333339</v>
      </c>
      <c r="C23" s="8">
        <f>SUM(K2:K21)</f>
        <v>156.80000000000004</v>
      </c>
      <c r="D23" s="8">
        <f>SUM(L2:L21)</f>
        <v>3723.8833333333337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A2</f>
        <v>Ralph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C16+5</f>
        <v>46238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COUNTIF(D2:D18, "*:*")</f>
        <v>15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3567.0833333333339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156.80000000000004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SUM(B38:B41)</f>
        <v>3723.8833333333341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3723.8833333333341</v>
      </c>
      <c r="C48" s="16"/>
    </row>
    <row r="49" spans="2:2">
      <c r="B49" s="28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workbookViewId="0">
      <selection activeCell="D41" sqref="D41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66</v>
      </c>
      <c r="B2" s="2" t="s">
        <v>59</v>
      </c>
      <c r="C2" s="4" t="s">
        <v>152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605</v>
      </c>
    </row>
    <row r="3" spans="1:12">
      <c r="A3" t="s">
        <v>66</v>
      </c>
      <c r="B3" s="2" t="s">
        <v>59</v>
      </c>
      <c r="C3" s="4" t="s">
        <v>154</v>
      </c>
      <c r="D3" s="27" t="s">
        <v>64</v>
      </c>
      <c r="E3" s="23" t="s">
        <v>31</v>
      </c>
      <c r="G3" s="7"/>
      <c r="H3" s="7"/>
      <c r="I3" s="7"/>
      <c r="J3" s="7"/>
      <c r="K3" s="7"/>
      <c r="L3" s="26">
        <v>550</v>
      </c>
    </row>
    <row r="4" spans="1:12">
      <c r="A4" t="s">
        <v>66</v>
      </c>
      <c r="B4" s="2" t="s">
        <v>59</v>
      </c>
      <c r="C4" s="4" t="s">
        <v>154</v>
      </c>
      <c r="D4" s="27" t="s">
        <v>67</v>
      </c>
      <c r="E4" s="23" t="s">
        <v>31</v>
      </c>
      <c r="G4" s="7"/>
      <c r="H4" s="7"/>
      <c r="I4" s="7"/>
      <c r="J4" s="7"/>
      <c r="K4" s="7"/>
      <c r="L4" s="26">
        <v>495</v>
      </c>
    </row>
    <row r="5" spans="1:12">
      <c r="A5" t="s">
        <v>66</v>
      </c>
      <c r="B5" s="2" t="s">
        <v>59</v>
      </c>
      <c r="C5" s="4" t="s">
        <v>155</v>
      </c>
      <c r="D5" s="27" t="s">
        <v>68</v>
      </c>
      <c r="E5" s="23" t="s">
        <v>31</v>
      </c>
      <c r="G5" s="7"/>
      <c r="H5" s="7"/>
      <c r="I5" s="7"/>
      <c r="J5" s="7"/>
      <c r="K5" s="7"/>
      <c r="L5" s="26">
        <v>605</v>
      </c>
    </row>
    <row r="6" spans="1:12">
      <c r="A6" t="s">
        <v>66</v>
      </c>
      <c r="B6" s="2" t="s">
        <v>59</v>
      </c>
      <c r="C6" s="4" t="s">
        <v>156</v>
      </c>
      <c r="D6" s="27" t="s">
        <v>69</v>
      </c>
      <c r="E6" s="23" t="s">
        <v>31</v>
      </c>
      <c r="G6" s="7"/>
      <c r="H6" s="7"/>
      <c r="I6" s="7"/>
      <c r="J6" s="7"/>
      <c r="K6" s="7"/>
      <c r="L6" s="26">
        <v>550</v>
      </c>
    </row>
    <row r="7" spans="1:12">
      <c r="A7" t="s">
        <v>66</v>
      </c>
      <c r="B7" s="25" t="s">
        <v>61</v>
      </c>
      <c r="C7" s="4" t="s">
        <v>157</v>
      </c>
      <c r="D7" s="27" t="s">
        <v>70</v>
      </c>
      <c r="E7" s="23" t="s">
        <v>31</v>
      </c>
      <c r="G7" s="7"/>
      <c r="H7" s="7"/>
      <c r="I7" s="7"/>
      <c r="J7" s="7"/>
      <c r="K7" s="7"/>
      <c r="L7" s="26">
        <v>510</v>
      </c>
    </row>
    <row r="8" spans="1:12">
      <c r="A8" t="s">
        <v>66</v>
      </c>
      <c r="B8" s="25" t="s">
        <v>61</v>
      </c>
      <c r="C8" s="4" t="s">
        <v>158</v>
      </c>
      <c r="D8" s="27" t="s">
        <v>70</v>
      </c>
      <c r="E8" s="23" t="s">
        <v>31</v>
      </c>
      <c r="G8" s="7"/>
      <c r="H8" s="7"/>
      <c r="I8" s="7"/>
      <c r="J8" s="7"/>
      <c r="K8" s="7"/>
      <c r="L8" s="7">
        <v>540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3855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David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v>46193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7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8">
        <f>D15</f>
        <v>3855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3855</v>
      </c>
      <c r="C36" s="16"/>
    </row>
    <row r="37" spans="1:3">
      <c r="A37" s="10" t="s">
        <v>47</v>
      </c>
      <c r="B37" s="14">
        <v>-1147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2708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9" t="s">
        <v>103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9" t="s">
        <v>93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9" t="s">
        <v>94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9" t="s">
        <v>95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9" t="s">
        <v>96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9" t="s">
        <v>97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9" t="s">
        <v>98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9" t="s">
        <v>103</v>
      </c>
      <c r="D9" s="30" t="s">
        <v>92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9" t="s">
        <v>93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9" t="s">
        <v>94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9" t="s">
        <v>95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9" t="s">
        <v>96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9" t="s">
        <v>97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9" t="s">
        <v>98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9" t="s">
        <v>98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7" t="s">
        <v>39</v>
      </c>
      <c r="B30" s="37"/>
      <c r="C30" s="15"/>
      <c r="D30" s="9"/>
    </row>
    <row r="31" spans="1:4">
      <c r="A31" s="10" t="s">
        <v>40</v>
      </c>
      <c r="B31" s="11" t="str">
        <f>A2</f>
        <v>Kris Naynayan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46139</v>
      </c>
      <c r="C33" s="16"/>
    </row>
    <row r="34" spans="1:3">
      <c r="A34" s="10" t="s">
        <v>50</v>
      </c>
      <c r="B34" s="10" t="str">
        <f>Marlon!B35</f>
        <v>July-1 to July-15, 2026</v>
      </c>
      <c r="C34" s="16"/>
    </row>
    <row r="35" spans="1:3">
      <c r="A35" s="10" t="s">
        <v>63</v>
      </c>
      <c r="B35" s="10">
        <f>COUNTIF(D2:D8, "*:*")</f>
        <v>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326.88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8.7098328549473075E-14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326.88000000000011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64B-77D7-44C7-9FC6-8FA6DB0E7A8C}">
  <dimension ref="A1:L46"/>
  <sheetViews>
    <sheetView workbookViewId="0">
      <selection activeCell="A17" sqref="A17:XFD17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199</v>
      </c>
      <c r="B2" s="2" t="s">
        <v>19</v>
      </c>
      <c r="C2" s="35" t="s">
        <v>173</v>
      </c>
      <c r="D2" s="36" t="s">
        <v>31</v>
      </c>
      <c r="E2" s="36" t="s">
        <v>31</v>
      </c>
      <c r="F2">
        <v>31.25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6" si="1">H2*F2</f>
        <v>0</v>
      </c>
      <c r="K2" s="7">
        <f t="shared" ref="K2:K16" si="2">I2*F2*1.2</f>
        <v>0</v>
      </c>
      <c r="L2" s="7">
        <f t="shared" ref="L2:L16" si="3">J2+K2</f>
        <v>0</v>
      </c>
    </row>
    <row r="3" spans="1:12">
      <c r="A3" t="s">
        <v>199</v>
      </c>
      <c r="B3" s="2" t="s">
        <v>19</v>
      </c>
      <c r="C3" s="35" t="s">
        <v>174</v>
      </c>
      <c r="D3" s="36" t="s">
        <v>31</v>
      </c>
      <c r="E3" s="36" t="s">
        <v>31</v>
      </c>
      <c r="F3">
        <v>31.25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199</v>
      </c>
      <c r="B4" s="2" t="s">
        <v>19</v>
      </c>
      <c r="C4" s="35" t="s">
        <v>176</v>
      </c>
      <c r="D4" s="36" t="s">
        <v>31</v>
      </c>
      <c r="E4" s="36" t="s">
        <v>31</v>
      </c>
      <c r="F4">
        <v>31.25</v>
      </c>
      <c r="G4" s="31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199</v>
      </c>
      <c r="B5" s="2" t="s">
        <v>19</v>
      </c>
      <c r="C5" s="35" t="s">
        <v>178</v>
      </c>
      <c r="D5" s="36" t="s">
        <v>31</v>
      </c>
      <c r="E5" s="36" t="s">
        <v>31</v>
      </c>
      <c r="F5">
        <v>31.25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199</v>
      </c>
      <c r="B6" s="2" t="s">
        <v>19</v>
      </c>
      <c r="C6" s="35" t="s">
        <v>179</v>
      </c>
      <c r="D6" s="36" t="s">
        <v>31</v>
      </c>
      <c r="E6" s="36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199</v>
      </c>
      <c r="B7" s="2" t="s">
        <v>19</v>
      </c>
      <c r="C7" s="35" t="s">
        <v>180</v>
      </c>
      <c r="D7" s="36" t="s">
        <v>60</v>
      </c>
      <c r="E7" s="36" t="s">
        <v>57</v>
      </c>
      <c r="F7">
        <v>31.25</v>
      </c>
      <c r="G7" s="31">
        <f t="shared" si="0"/>
        <v>3.9999999999999991</v>
      </c>
      <c r="H7">
        <f t="shared" si="4"/>
        <v>3.9999999999999991</v>
      </c>
      <c r="I7" s="7">
        <f t="shared" si="5"/>
        <v>0</v>
      </c>
      <c r="J7" s="7">
        <f t="shared" si="1"/>
        <v>124.99999999999997</v>
      </c>
      <c r="K7" s="7">
        <f t="shared" si="2"/>
        <v>0</v>
      </c>
      <c r="L7" s="7">
        <f t="shared" si="3"/>
        <v>124.99999999999997</v>
      </c>
    </row>
    <row r="8" spans="1:12">
      <c r="A8" t="s">
        <v>199</v>
      </c>
      <c r="B8" s="2" t="s">
        <v>19</v>
      </c>
      <c r="C8" s="35" t="s">
        <v>181</v>
      </c>
      <c r="D8" s="36" t="s">
        <v>60</v>
      </c>
      <c r="E8" s="36" t="s">
        <v>57</v>
      </c>
      <c r="F8">
        <v>31.25</v>
      </c>
      <c r="G8" s="31">
        <f t="shared" si="0"/>
        <v>3.9999999999999991</v>
      </c>
      <c r="H8">
        <f t="shared" si="4"/>
        <v>3.9999999999999991</v>
      </c>
      <c r="I8" s="7">
        <f t="shared" si="5"/>
        <v>0</v>
      </c>
      <c r="J8" s="7">
        <f t="shared" si="1"/>
        <v>124.99999999999997</v>
      </c>
      <c r="K8" s="7">
        <f t="shared" si="2"/>
        <v>0</v>
      </c>
      <c r="L8" s="7">
        <f t="shared" si="3"/>
        <v>124.99999999999997</v>
      </c>
    </row>
    <row r="9" spans="1:12">
      <c r="A9" t="s">
        <v>199</v>
      </c>
      <c r="B9" s="2" t="s">
        <v>19</v>
      </c>
      <c r="C9" s="35" t="s">
        <v>182</v>
      </c>
      <c r="D9" s="36" t="s">
        <v>31</v>
      </c>
      <c r="E9" s="36" t="s">
        <v>31</v>
      </c>
      <c r="F9">
        <v>31.25</v>
      </c>
      <c r="G9" s="31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199</v>
      </c>
      <c r="B10" s="2" t="s">
        <v>19</v>
      </c>
      <c r="C10" s="35" t="s">
        <v>183</v>
      </c>
      <c r="D10" s="36" t="s">
        <v>62</v>
      </c>
      <c r="E10" s="36" t="s">
        <v>60</v>
      </c>
      <c r="F10">
        <v>31.25</v>
      </c>
      <c r="G10" s="31">
        <f t="shared" si="0"/>
        <v>8</v>
      </c>
      <c r="H10">
        <f t="shared" ref="H10:H16" si="6">MIN(G10,8)</f>
        <v>8</v>
      </c>
      <c r="I10" s="7">
        <f t="shared" ref="I10:I16" si="7">IF(MAX(G10-8,0) - 1 &lt; 0, 0, MAX(G10-8,0) - 1)</f>
        <v>0</v>
      </c>
      <c r="J10" s="7">
        <f t="shared" si="1"/>
        <v>250</v>
      </c>
      <c r="K10" s="7">
        <f t="shared" si="2"/>
        <v>0</v>
      </c>
      <c r="L10" s="7">
        <f t="shared" si="3"/>
        <v>250</v>
      </c>
    </row>
    <row r="11" spans="1:12">
      <c r="A11" t="s">
        <v>199</v>
      </c>
      <c r="B11" s="2" t="s">
        <v>19</v>
      </c>
      <c r="C11" s="35" t="s">
        <v>184</v>
      </c>
      <c r="D11" s="36" t="s">
        <v>62</v>
      </c>
      <c r="E11" s="36" t="s">
        <v>60</v>
      </c>
      <c r="F11">
        <v>31.25</v>
      </c>
      <c r="G11" s="31">
        <f t="shared" si="0"/>
        <v>8</v>
      </c>
      <c r="H11">
        <f t="shared" si="6"/>
        <v>8</v>
      </c>
      <c r="I11" s="7">
        <f t="shared" si="7"/>
        <v>0</v>
      </c>
      <c r="J11" s="7">
        <f t="shared" si="1"/>
        <v>250</v>
      </c>
      <c r="K11" s="7">
        <f t="shared" si="2"/>
        <v>0</v>
      </c>
      <c r="L11" s="7">
        <f t="shared" si="3"/>
        <v>250</v>
      </c>
    </row>
    <row r="12" spans="1:12">
      <c r="A12" t="s">
        <v>199</v>
      </c>
      <c r="B12" s="2" t="s">
        <v>19</v>
      </c>
      <c r="C12" s="35" t="s">
        <v>185</v>
      </c>
      <c r="D12" s="36" t="s">
        <v>62</v>
      </c>
      <c r="E12" s="36" t="s">
        <v>57</v>
      </c>
      <c r="F12">
        <v>31.25</v>
      </c>
      <c r="G12" s="31">
        <f t="shared" si="0"/>
        <v>12</v>
      </c>
      <c r="H12">
        <f t="shared" si="6"/>
        <v>8</v>
      </c>
      <c r="I12" s="7">
        <f t="shared" si="7"/>
        <v>3</v>
      </c>
      <c r="J12" s="7">
        <f t="shared" si="1"/>
        <v>250</v>
      </c>
      <c r="K12" s="7">
        <f t="shared" si="2"/>
        <v>112.5</v>
      </c>
      <c r="L12" s="7">
        <f t="shared" si="3"/>
        <v>362.5</v>
      </c>
    </row>
    <row r="13" spans="1:12">
      <c r="A13" t="s">
        <v>199</v>
      </c>
      <c r="B13" s="2" t="s">
        <v>19</v>
      </c>
      <c r="C13" s="35" t="s">
        <v>186</v>
      </c>
      <c r="D13" s="36" t="s">
        <v>62</v>
      </c>
      <c r="E13" s="36" t="s">
        <v>208</v>
      </c>
      <c r="F13">
        <v>31.25</v>
      </c>
      <c r="G13" s="31">
        <f t="shared" si="0"/>
        <v>12.149999999999999</v>
      </c>
      <c r="H13">
        <f t="shared" si="6"/>
        <v>8</v>
      </c>
      <c r="I13" s="7">
        <f t="shared" si="7"/>
        <v>3.1499999999999986</v>
      </c>
      <c r="J13" s="7">
        <f t="shared" si="1"/>
        <v>250</v>
      </c>
      <c r="K13" s="7">
        <f t="shared" si="2"/>
        <v>118.12499999999994</v>
      </c>
      <c r="L13" s="7">
        <f t="shared" si="3"/>
        <v>368.12499999999994</v>
      </c>
    </row>
    <row r="14" spans="1:12">
      <c r="A14" t="s">
        <v>199</v>
      </c>
      <c r="B14" s="2" t="s">
        <v>19</v>
      </c>
      <c r="C14" s="35" t="s">
        <v>187</v>
      </c>
      <c r="D14" s="36" t="s">
        <v>31</v>
      </c>
      <c r="E14" s="36" t="s">
        <v>31</v>
      </c>
      <c r="F14">
        <v>31.25</v>
      </c>
      <c r="G14" s="31">
        <f t="shared" si="0"/>
        <v>0</v>
      </c>
      <c r="H14">
        <f t="shared" si="6"/>
        <v>0</v>
      </c>
      <c r="I14" s="7">
        <f t="shared" si="7"/>
        <v>0</v>
      </c>
      <c r="J14" s="7">
        <f t="shared" si="1"/>
        <v>0</v>
      </c>
      <c r="K14" s="7">
        <f t="shared" si="2"/>
        <v>0</v>
      </c>
      <c r="L14" s="7">
        <f t="shared" si="3"/>
        <v>0</v>
      </c>
    </row>
    <row r="15" spans="1:12">
      <c r="A15" t="s">
        <v>199</v>
      </c>
      <c r="B15" s="2" t="s">
        <v>19</v>
      </c>
      <c r="C15" s="35" t="s">
        <v>188</v>
      </c>
      <c r="D15" s="36" t="s">
        <v>31</v>
      </c>
      <c r="E15" s="36" t="s">
        <v>31</v>
      </c>
      <c r="F15">
        <v>31.25</v>
      </c>
      <c r="G15" s="31">
        <f t="shared" si="0"/>
        <v>0</v>
      </c>
      <c r="H15">
        <f t="shared" si="6"/>
        <v>0</v>
      </c>
      <c r="I15" s="7">
        <f t="shared" si="7"/>
        <v>0</v>
      </c>
      <c r="J15" s="7">
        <f t="shared" si="1"/>
        <v>0</v>
      </c>
      <c r="K15" s="7">
        <f t="shared" si="2"/>
        <v>0</v>
      </c>
      <c r="L15" s="7">
        <f t="shared" si="3"/>
        <v>0</v>
      </c>
    </row>
    <row r="16" spans="1:12">
      <c r="A16" t="s">
        <v>199</v>
      </c>
      <c r="B16" s="2" t="s">
        <v>19</v>
      </c>
      <c r="C16" s="35" t="s">
        <v>189</v>
      </c>
      <c r="D16" s="36" t="s">
        <v>31</v>
      </c>
      <c r="E16" s="36" t="s">
        <v>31</v>
      </c>
      <c r="F16">
        <v>31.25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199</v>
      </c>
      <c r="B17" s="2" t="s">
        <v>19</v>
      </c>
      <c r="C17" s="35" t="s">
        <v>189</v>
      </c>
      <c r="D17" s="36" t="s">
        <v>31</v>
      </c>
      <c r="E17" s="36" t="s">
        <v>31</v>
      </c>
      <c r="F17">
        <v>31.25</v>
      </c>
      <c r="G17" s="31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1250</v>
      </c>
      <c r="C24" s="8">
        <f>SUM(K2:K22)</f>
        <v>230.62499999999994</v>
      </c>
      <c r="D24" s="8">
        <f>SUM(L2:L22)</f>
        <v>1480.625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Brett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46223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6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1250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230.62499999999994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1480.625</v>
      </c>
      <c r="C41" s="16"/>
    </row>
    <row r="42" spans="1:3">
      <c r="A42" s="10" t="s">
        <v>47</v>
      </c>
      <c r="B42" s="14"/>
      <c r="C42" s="16"/>
    </row>
    <row r="43" spans="1:3">
      <c r="A43" s="10" t="s">
        <v>172</v>
      </c>
      <c r="B43" s="14">
        <v>-500</v>
      </c>
      <c r="C43" s="16"/>
    </row>
    <row r="44" spans="1:3">
      <c r="A44" s="10"/>
      <c r="B44" s="14">
        <v>0</v>
      </c>
      <c r="C44" s="16"/>
    </row>
    <row r="45" spans="1:3">
      <c r="A45" s="10" t="s">
        <v>160</v>
      </c>
      <c r="B45" s="14"/>
      <c r="C45" s="16"/>
    </row>
    <row r="46" spans="1:3">
      <c r="A46" s="13" t="s">
        <v>48</v>
      </c>
      <c r="B46" s="14">
        <f>SUM(B41:B44)</f>
        <v>980.625</v>
      </c>
      <c r="C46" s="16"/>
    </row>
  </sheetData>
  <mergeCells count="1">
    <mergeCell ref="A28:B28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99</v>
      </c>
      <c r="B2" s="2" t="s">
        <v>18</v>
      </c>
      <c r="C2" s="4" t="s">
        <v>107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99</v>
      </c>
      <c r="B3" s="2" t="s">
        <v>18</v>
      </c>
      <c r="C3" s="4" t="s">
        <v>108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99</v>
      </c>
      <c r="B4" s="2" t="s">
        <v>18</v>
      </c>
      <c r="C4" s="4" t="s">
        <v>109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99</v>
      </c>
      <c r="B5" s="2" t="s">
        <v>18</v>
      </c>
      <c r="C5" s="4" t="s">
        <v>130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99</v>
      </c>
      <c r="B6" s="2" t="s">
        <v>18</v>
      </c>
      <c r="C6" s="4" t="s">
        <v>114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99</v>
      </c>
      <c r="B7" s="2" t="s">
        <v>18</v>
      </c>
      <c r="C7" s="4" t="s">
        <v>115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99</v>
      </c>
      <c r="B8" s="2" t="s">
        <v>18</v>
      </c>
      <c r="C8" s="4" t="s">
        <v>116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99</v>
      </c>
      <c r="B9" s="2" t="s">
        <v>18</v>
      </c>
      <c r="C9" s="4" t="s">
        <v>117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99</v>
      </c>
      <c r="B10" s="2" t="s">
        <v>18</v>
      </c>
      <c r="C10" s="4" t="s">
        <v>118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99</v>
      </c>
      <c r="B11" s="2" t="s">
        <v>18</v>
      </c>
      <c r="C11" s="4" t="s">
        <v>119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99</v>
      </c>
      <c r="B12" s="2" t="s">
        <v>18</v>
      </c>
      <c r="C12" s="4" t="s">
        <v>120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99</v>
      </c>
      <c r="B13" s="2" t="s">
        <v>18</v>
      </c>
      <c r="C13" s="4" t="s">
        <v>122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99</v>
      </c>
      <c r="B14" s="2" t="s">
        <v>18</v>
      </c>
      <c r="C14" s="4" t="s">
        <v>123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99</v>
      </c>
      <c r="B15" s="2" t="s">
        <v>18</v>
      </c>
      <c r="C15" s="4" t="s">
        <v>124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99</v>
      </c>
      <c r="B16" s="2" t="s">
        <v>18</v>
      </c>
      <c r="C16" s="4" t="s">
        <v>125</v>
      </c>
      <c r="D16" s="23" t="s">
        <v>62</v>
      </c>
      <c r="E16" s="23" t="s">
        <v>131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99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7" t="s">
        <v>39</v>
      </c>
      <c r="B31" s="37"/>
      <c r="C31" s="15"/>
      <c r="D31" s="9"/>
    </row>
    <row r="32" spans="1:4">
      <c r="A32" s="10" t="s">
        <v>40</v>
      </c>
      <c r="B32" s="11" t="s">
        <v>99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COUNTIF(D2:D16,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2865.625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1102.5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3968.125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9" t="s">
        <v>103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9" t="s">
        <v>104</v>
      </c>
      <c r="D3" s="30" t="s">
        <v>110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9" t="s">
        <v>105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9" t="s">
        <v>106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9" t="s">
        <v>107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9" t="s">
        <v>108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9" t="s">
        <v>109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Jay Anne</v>
      </c>
      <c r="C24" s="16"/>
    </row>
    <row r="25" spans="1:4">
      <c r="A25" s="10" t="s">
        <v>41</v>
      </c>
      <c r="B25" s="11" t="s">
        <v>56</v>
      </c>
      <c r="C25" s="16"/>
    </row>
    <row r="26" spans="1:4">
      <c r="A26" s="10" t="s">
        <v>42</v>
      </c>
      <c r="B26" s="12">
        <f>C8+1</f>
        <v>46146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3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900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159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1059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112</v>
      </c>
      <c r="B2" s="2" t="s">
        <v>18</v>
      </c>
      <c r="C2" s="29" t="s">
        <v>132</v>
      </c>
      <c r="D2" s="23" t="s">
        <v>31</v>
      </c>
      <c r="E2" s="23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112</v>
      </c>
      <c r="B3" s="2" t="s">
        <v>18</v>
      </c>
      <c r="C3" s="29" t="s">
        <v>133</v>
      </c>
      <c r="D3" s="23" t="s">
        <v>62</v>
      </c>
      <c r="E3" s="23" t="s">
        <v>128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>
      <c r="A4" t="s">
        <v>112</v>
      </c>
      <c r="B4" s="2" t="s">
        <v>18</v>
      </c>
      <c r="C4" s="29" t="s">
        <v>134</v>
      </c>
      <c r="D4" s="23" t="s">
        <v>62</v>
      </c>
      <c r="E4" s="30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>
      <c r="A5" t="s">
        <v>112</v>
      </c>
      <c r="B5" s="2" t="s">
        <v>18</v>
      </c>
      <c r="C5" s="29" t="s">
        <v>135</v>
      </c>
      <c r="D5" s="23" t="s">
        <v>31</v>
      </c>
      <c r="E5" s="23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112</v>
      </c>
      <c r="B6" s="2" t="s">
        <v>18</v>
      </c>
      <c r="C6" s="29" t="s">
        <v>136</v>
      </c>
      <c r="D6" s="23" t="s">
        <v>60</v>
      </c>
      <c r="E6" s="23" t="s">
        <v>128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>
      <c r="A7" t="s">
        <v>112</v>
      </c>
      <c r="B7" s="2" t="s">
        <v>18</v>
      </c>
      <c r="C7" s="29" t="s">
        <v>137</v>
      </c>
      <c r="D7" s="23" t="s">
        <v>60</v>
      </c>
      <c r="E7" s="23" t="s">
        <v>128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>
      <c r="A8" t="s">
        <v>112</v>
      </c>
      <c r="B8" s="2" t="s">
        <v>18</v>
      </c>
      <c r="C8" s="29" t="s">
        <v>138</v>
      </c>
      <c r="D8" s="23" t="s">
        <v>60</v>
      </c>
      <c r="E8" s="23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>
      <c r="A9" t="s">
        <v>112</v>
      </c>
      <c r="B9" s="2" t="s">
        <v>18</v>
      </c>
      <c r="C9" s="29" t="s">
        <v>139</v>
      </c>
      <c r="D9" s="23" t="s">
        <v>62</v>
      </c>
      <c r="E9" s="23" t="s">
        <v>128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>
      <c r="A10" t="s">
        <v>112</v>
      </c>
      <c r="B10" s="2" t="s">
        <v>18</v>
      </c>
      <c r="C10" s="29" t="s">
        <v>140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112</v>
      </c>
      <c r="B11" s="2" t="s">
        <v>18</v>
      </c>
      <c r="C11" s="29" t="s">
        <v>141</v>
      </c>
      <c r="D11" s="23" t="s">
        <v>62</v>
      </c>
      <c r="E11" s="23" t="s">
        <v>128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>
      <c r="A12" t="s">
        <v>112</v>
      </c>
      <c r="B12" s="2" t="s">
        <v>18</v>
      </c>
      <c r="C12" s="29" t="s">
        <v>142</v>
      </c>
      <c r="D12" s="23" t="s">
        <v>62</v>
      </c>
      <c r="E12" s="23" t="s">
        <v>128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>
      <c r="A13" t="s">
        <v>112</v>
      </c>
      <c r="B13" s="2" t="s">
        <v>18</v>
      </c>
      <c r="C13" s="29" t="s">
        <v>143</v>
      </c>
      <c r="D13" s="23" t="s">
        <v>31</v>
      </c>
      <c r="E13" s="23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112</v>
      </c>
      <c r="B14" s="2" t="s">
        <v>18</v>
      </c>
      <c r="C14" s="29" t="s">
        <v>144</v>
      </c>
      <c r="D14" s="23" t="s">
        <v>62</v>
      </c>
      <c r="E14" s="23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>
      <c r="A15" t="s">
        <v>112</v>
      </c>
      <c r="B15" s="2" t="s">
        <v>18</v>
      </c>
      <c r="C15" s="29" t="s">
        <v>145</v>
      </c>
      <c r="D15" s="23" t="s">
        <v>62</v>
      </c>
      <c r="E15" s="23" t="s">
        <v>128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>
      <c r="A16" t="s">
        <v>112</v>
      </c>
      <c r="B16" s="2" t="s">
        <v>18</v>
      </c>
      <c r="C16" s="29" t="s">
        <v>146</v>
      </c>
      <c r="D16" s="23" t="s">
        <v>62</v>
      </c>
      <c r="E16" s="23" t="s">
        <v>128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>
      <c r="A17" t="s">
        <v>112</v>
      </c>
      <c r="B17" s="2" t="s">
        <v>18</v>
      </c>
      <c r="C17" s="29" t="s">
        <v>147</v>
      </c>
      <c r="D17" s="23" t="s">
        <v>31</v>
      </c>
      <c r="E17" s="23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112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A2</f>
        <v>Sheen Valles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COUNTIF(D2:D17, "*:*")</f>
        <v>12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2325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787.5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3112.5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3112.5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9" t="s">
        <v>90</v>
      </c>
      <c r="D2" s="5" t="s">
        <v>30</v>
      </c>
      <c r="E2" s="5" t="s">
        <v>83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9" t="s">
        <v>84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9" t="s">
        <v>85</v>
      </c>
      <c r="D4" s="5" t="s">
        <v>30</v>
      </c>
      <c r="E4" s="5" t="s">
        <v>65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9" t="s">
        <v>86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9" t="s">
        <v>87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9" t="s">
        <v>88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9" t="s">
        <v>89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Chadiyah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46083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4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1162.1199999999999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1305.6759999999999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71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73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74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75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76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5" t="s">
        <v>61</v>
      </c>
      <c r="C7" s="4" t="s">
        <v>77</v>
      </c>
      <c r="D7" s="23" t="s">
        <v>78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5" t="s">
        <v>61</v>
      </c>
      <c r="C8" s="4" t="s">
        <v>79</v>
      </c>
      <c r="D8" s="23" t="s">
        <v>80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Lenard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46076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5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658.08233333333317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746.1035333333333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Name</v>
      </c>
      <c r="C24" s="16"/>
    </row>
    <row r="25" spans="1:4">
      <c r="A25" s="10" t="s">
        <v>41</v>
      </c>
      <c r="B25" s="11" t="s">
        <v>49</v>
      </c>
      <c r="C25" s="16"/>
    </row>
    <row r="26" spans="1:4">
      <c r="A26" s="10" t="s">
        <v>42</v>
      </c>
      <c r="B26" s="12">
        <v>46041</v>
      </c>
      <c r="C26" s="16"/>
    </row>
    <row r="27" spans="1:4">
      <c r="A27" s="10" t="s">
        <v>50</v>
      </c>
      <c r="B27" s="10" t="s">
        <v>51</v>
      </c>
      <c r="C27" s="16"/>
    </row>
    <row r="28" spans="1:4">
      <c r="A28" s="10"/>
      <c r="B28" s="10"/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2692.2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3499.86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Payslip</vt:lpstr>
      <vt:lpstr>Summary</vt:lpstr>
      <vt:lpstr>Micky</vt:lpstr>
      <vt:lpstr>Monico</vt:lpstr>
      <vt:lpstr>Renelyn</vt:lpstr>
      <vt:lpstr>Cherry</vt:lpstr>
      <vt:lpstr>Marlon</vt:lpstr>
      <vt:lpstr>Lino</vt:lpstr>
      <vt:lpstr>Nino</vt:lpstr>
      <vt:lpstr>Ralph</vt:lpstr>
      <vt:lpstr>David</vt:lpstr>
      <vt:lpstr>Kris</vt:lpstr>
      <vt:lpstr>Brett</vt:lpstr>
      <vt:lpstr>Pepito</vt:lpstr>
      <vt:lpstr>Jay Anne</vt:lpstr>
      <vt:lpstr>Sheen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2026-08-05T01:27:50Z</cp:lastPrinted>
  <dcterms:created xsi:type="dcterms:W3CDTF">2025-12-15T10:27:30Z</dcterms:created>
  <dcterms:modified xsi:type="dcterms:W3CDTF">2026-08-05T07:31:35Z</dcterms:modified>
</cp:coreProperties>
</file>